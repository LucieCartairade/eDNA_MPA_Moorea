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cartair\Documents\eDNA_MPA_Moorea\Datas\"/>
    </mc:Choice>
  </mc:AlternateContent>
  <bookViews>
    <workbookView xWindow="0" yWindow="0" windowWidth="38400" windowHeight="17340"/>
  </bookViews>
  <sheets>
    <sheet name="Feuil1" sheetId="1" r:id="rId1"/>
    <sheet name="Feuil2" sheetId="5" r:id="rId2"/>
  </sheets>
  <definedNames>
    <definedName name="_xlnm._FilterDatabase" localSheetId="0" hidden="1">Feuil1!$D$1:$D$64</definedName>
    <definedName name="Z_31DE5CA8_FFBA_4668_A57F_F27350AE1786_.wvu.FilterData" localSheetId="0" hidden="1">Feuil1!$D$1:$D$64</definedName>
  </definedNames>
  <calcPr calcId="162913"/>
  <customWorkbookViews>
    <customWorkbookView name="Filtre 1" guid="{31DE5CA8-FFBA-4668-A57F-F27350AE1786}" maximized="1" windowWidth="0" windowHeight="0" activeSheetId="0"/>
  </customWorkbookViews>
</workbook>
</file>

<file path=xl/calcChain.xml><?xml version="1.0" encoding="utf-8"?>
<calcChain xmlns="http://schemas.openxmlformats.org/spreadsheetml/2006/main">
  <c r="AN172" i="5" l="1"/>
  <c r="AN171" i="5"/>
  <c r="AN170" i="5"/>
  <c r="AN169" i="5"/>
  <c r="AN168" i="5"/>
  <c r="AN167" i="5"/>
  <c r="AN166" i="5"/>
  <c r="AN165" i="5"/>
  <c r="AN164" i="5"/>
  <c r="AN163" i="5"/>
  <c r="AN162" i="5"/>
  <c r="AN161" i="5"/>
  <c r="AN160" i="5"/>
  <c r="AN159" i="5"/>
  <c r="AN158" i="5"/>
  <c r="AN157" i="5"/>
  <c r="AN156" i="5"/>
  <c r="AN155" i="5"/>
  <c r="AN154" i="5"/>
  <c r="AN153" i="5"/>
  <c r="AN152" i="5"/>
  <c r="AN151" i="5"/>
  <c r="AN150" i="5"/>
  <c r="AN149" i="5"/>
  <c r="AN148" i="5"/>
  <c r="AN147" i="5"/>
  <c r="AN146" i="5"/>
  <c r="AN145" i="5"/>
  <c r="AN144" i="5"/>
  <c r="AN143" i="5"/>
  <c r="AN142" i="5"/>
  <c r="AN141" i="5"/>
  <c r="AN140" i="5"/>
  <c r="AN139" i="5"/>
  <c r="AN138" i="5"/>
  <c r="AN137" i="5"/>
  <c r="AN136" i="5"/>
  <c r="AN135" i="5"/>
  <c r="AN134" i="5"/>
  <c r="AN133" i="5"/>
  <c r="AN132" i="5"/>
  <c r="AN131" i="5"/>
  <c r="AN130" i="5"/>
  <c r="AN129" i="5"/>
  <c r="AN128" i="5"/>
  <c r="AN127" i="5"/>
  <c r="AN126" i="5"/>
  <c r="AN125" i="5"/>
  <c r="AN124" i="5"/>
  <c r="AN123" i="5"/>
  <c r="AN122" i="5"/>
  <c r="AN121" i="5"/>
  <c r="AN120" i="5"/>
  <c r="AN119" i="5"/>
  <c r="AN118" i="5"/>
  <c r="AN117" i="5"/>
  <c r="AN116" i="5"/>
  <c r="AN115" i="5"/>
  <c r="AN114" i="5"/>
  <c r="AN113" i="5"/>
  <c r="AN112" i="5"/>
  <c r="AN111" i="5"/>
  <c r="AN110" i="5"/>
  <c r="AN109" i="5"/>
  <c r="AN108" i="5"/>
  <c r="AN107" i="5"/>
  <c r="AN106" i="5"/>
  <c r="AN105" i="5"/>
  <c r="AN104" i="5"/>
  <c r="AN103" i="5"/>
  <c r="AN102" i="5"/>
  <c r="AN101" i="5"/>
  <c r="AN100" i="5"/>
  <c r="AN99" i="5"/>
  <c r="AN98" i="5"/>
  <c r="AN97" i="5"/>
  <c r="AN96" i="5"/>
  <c r="AN95" i="5"/>
  <c r="AN94" i="5"/>
  <c r="AN93" i="5"/>
  <c r="AN92" i="5"/>
  <c r="AN91" i="5"/>
  <c r="AN90" i="5"/>
  <c r="AN89" i="5"/>
  <c r="AN88" i="5"/>
  <c r="AN87" i="5"/>
  <c r="AN86" i="5"/>
  <c r="AN85" i="5"/>
  <c r="AN84" i="5"/>
  <c r="AN83" i="5"/>
  <c r="AN82" i="5"/>
  <c r="AN81" i="5"/>
  <c r="AN80" i="5"/>
  <c r="AN79" i="5"/>
  <c r="AN78" i="5"/>
  <c r="AN77" i="5"/>
  <c r="AN76" i="5"/>
  <c r="AN75" i="5"/>
  <c r="AN74" i="5"/>
  <c r="AN73" i="5"/>
  <c r="AN72" i="5"/>
  <c r="AN71" i="5"/>
  <c r="AN70" i="5"/>
  <c r="AN69" i="5"/>
  <c r="AN68" i="5"/>
  <c r="AN67" i="5"/>
  <c r="AN66" i="5"/>
  <c r="AN65" i="5"/>
  <c r="AN64" i="5"/>
  <c r="AN63" i="5"/>
  <c r="AN62" i="5"/>
  <c r="AN61" i="5"/>
  <c r="AN60" i="5"/>
  <c r="AN59" i="5"/>
  <c r="AN58" i="5"/>
  <c r="AN57" i="5"/>
  <c r="AB57" i="5"/>
  <c r="AG57" i="5" s="1"/>
  <c r="AN56" i="5"/>
  <c r="AB56" i="5"/>
  <c r="AG56" i="5" s="1"/>
  <c r="AN55" i="5"/>
  <c r="AG55" i="5"/>
  <c r="AC55" i="5"/>
  <c r="AB55" i="5"/>
  <c r="AN54" i="5"/>
  <c r="AB54" i="5"/>
  <c r="AG54" i="5" s="1"/>
  <c r="AN53" i="5"/>
  <c r="AG53" i="5"/>
  <c r="AC53" i="5"/>
  <c r="AB53" i="5"/>
  <c r="AN52" i="5"/>
  <c r="AB52" i="5"/>
  <c r="AG52" i="5" s="1"/>
  <c r="AN51" i="5"/>
  <c r="AG51" i="5"/>
  <c r="AC51" i="5"/>
  <c r="AB51" i="5"/>
  <c r="AN50" i="5"/>
  <c r="AB50" i="5"/>
  <c r="AG50" i="5" s="1"/>
  <c r="AN49" i="5"/>
  <c r="AG49" i="5"/>
  <c r="AC49" i="5"/>
  <c r="AB49" i="5"/>
  <c r="AN48" i="5"/>
  <c r="AB48" i="5"/>
  <c r="AG48" i="5" s="1"/>
  <c r="AN47" i="5"/>
  <c r="AG47" i="5"/>
  <c r="AC47" i="5"/>
  <c r="AB47" i="5"/>
  <c r="AN46" i="5"/>
  <c r="AB46" i="5"/>
  <c r="AG46" i="5" s="1"/>
  <c r="AN45" i="5"/>
  <c r="AG45" i="5"/>
  <c r="AC45" i="5"/>
  <c r="AB45" i="5"/>
  <c r="AN44" i="5"/>
  <c r="AB44" i="5"/>
  <c r="AG44" i="5" s="1"/>
  <c r="AN43" i="5"/>
  <c r="AG43" i="5"/>
  <c r="AC43" i="5"/>
  <c r="AB43" i="5"/>
  <c r="AN42" i="5"/>
  <c r="AB42" i="5"/>
  <c r="AG42" i="5" s="1"/>
  <c r="AN41" i="5"/>
  <c r="AG41" i="5"/>
  <c r="AC41" i="5"/>
  <c r="AB41" i="5"/>
  <c r="AN40" i="5"/>
  <c r="AB40" i="5"/>
  <c r="AG40" i="5" s="1"/>
  <c r="AN39" i="5"/>
  <c r="AG39" i="5"/>
  <c r="AC39" i="5"/>
  <c r="AB39" i="5"/>
  <c r="AN38" i="5"/>
  <c r="AB38" i="5"/>
  <c r="AG38" i="5" s="1"/>
  <c r="AN37" i="5"/>
  <c r="AG37" i="5"/>
  <c r="AC37" i="5"/>
  <c r="AB37" i="5"/>
  <c r="AN36" i="5"/>
  <c r="AB36" i="5"/>
  <c r="AG36" i="5" s="1"/>
  <c r="AN35" i="5"/>
  <c r="AG35" i="5"/>
  <c r="AC35" i="5"/>
  <c r="AB35" i="5"/>
  <c r="AN34" i="5"/>
  <c r="AB34" i="5"/>
  <c r="AG34" i="5" s="1"/>
  <c r="AN33" i="5"/>
  <c r="AG33" i="5"/>
  <c r="AC33" i="5"/>
  <c r="AB33" i="5"/>
  <c r="AN32" i="5"/>
  <c r="AB32" i="5"/>
  <c r="AG32" i="5" s="1"/>
  <c r="AN31" i="5"/>
  <c r="AG31" i="5"/>
  <c r="AC31" i="5"/>
  <c r="AB31" i="5"/>
  <c r="AN30" i="5"/>
  <c r="AN29" i="5"/>
  <c r="AC29" i="5"/>
  <c r="AB29" i="5"/>
  <c r="AG29" i="5" s="1"/>
  <c r="AN28" i="5"/>
  <c r="AB28" i="5"/>
  <c r="AG28" i="5" s="1"/>
  <c r="AN27" i="5"/>
  <c r="AC27" i="5"/>
  <c r="AB27" i="5"/>
  <c r="AG27" i="5" s="1"/>
  <c r="AN26" i="5"/>
  <c r="AB26" i="5"/>
  <c r="AG26" i="5" s="1"/>
  <c r="AN25" i="5"/>
  <c r="AC25" i="5"/>
  <c r="AB25" i="5"/>
  <c r="AG25" i="5" s="1"/>
  <c r="AN24" i="5"/>
  <c r="AB24" i="5"/>
  <c r="AC24" i="5" s="1"/>
  <c r="AN23" i="5"/>
  <c r="AC23" i="5"/>
  <c r="AB23" i="5"/>
  <c r="AG23" i="5" s="1"/>
  <c r="AN22" i="5"/>
  <c r="AB22" i="5"/>
  <c r="AG22" i="5" s="1"/>
  <c r="AN21" i="5"/>
  <c r="AC21" i="5"/>
  <c r="AB21" i="5"/>
  <c r="AG21" i="5" s="1"/>
  <c r="AN20" i="5"/>
  <c r="AN19" i="5"/>
  <c r="AG19" i="5"/>
  <c r="AC19" i="5"/>
  <c r="AB19" i="5"/>
  <c r="AN18" i="5"/>
  <c r="AB18" i="5"/>
  <c r="AG18" i="5" s="1"/>
  <c r="AN17" i="5"/>
  <c r="AG17" i="5"/>
  <c r="AC17" i="5"/>
  <c r="AB17" i="5"/>
  <c r="AN16" i="5"/>
  <c r="AB16" i="5"/>
  <c r="AG16" i="5" s="1"/>
  <c r="AN15" i="5"/>
  <c r="AG15" i="5"/>
  <c r="AC15" i="5"/>
  <c r="AB15" i="5"/>
  <c r="AN14" i="5"/>
  <c r="AB14" i="5"/>
  <c r="AG14" i="5" s="1"/>
  <c r="AN13" i="5"/>
  <c r="AG13" i="5"/>
  <c r="AC13" i="5"/>
  <c r="AB13" i="5"/>
  <c r="AN12" i="5"/>
  <c r="AB12" i="5"/>
  <c r="AG12" i="5" s="1"/>
  <c r="AN11" i="5"/>
  <c r="AG11" i="5"/>
  <c r="AC11" i="5"/>
  <c r="AB11" i="5"/>
  <c r="AN10" i="5"/>
  <c r="AB10" i="5"/>
  <c r="AG10" i="5" s="1"/>
  <c r="AN9" i="5"/>
  <c r="AG9" i="5"/>
  <c r="AC9" i="5"/>
  <c r="AB9" i="5"/>
  <c r="AN8" i="5"/>
  <c r="AB8" i="5"/>
  <c r="AG8" i="5" s="1"/>
  <c r="AN7" i="5"/>
  <c r="AG7" i="5"/>
  <c r="AC7" i="5"/>
  <c r="AB7" i="5"/>
  <c r="AN6" i="5"/>
  <c r="AB6" i="5"/>
  <c r="AG6" i="5" s="1"/>
  <c r="AN5" i="5"/>
  <c r="AG5" i="5"/>
  <c r="AC5" i="5"/>
  <c r="AB5" i="5"/>
  <c r="AN4" i="5"/>
  <c r="AB4" i="5"/>
  <c r="AG4" i="5" s="1"/>
  <c r="AN3" i="5"/>
  <c r="AG3" i="5"/>
  <c r="AC3" i="5"/>
  <c r="AB3" i="5"/>
  <c r="AN2" i="5"/>
  <c r="AB2" i="5"/>
  <c r="AG2" i="5" s="1"/>
  <c r="AC28" i="5" l="1"/>
  <c r="AC57" i="5"/>
  <c r="AC2" i="5"/>
  <c r="AC4" i="5"/>
  <c r="AC6" i="5"/>
  <c r="AC8" i="5"/>
  <c r="AC10" i="5"/>
  <c r="AC12" i="5"/>
  <c r="AC14" i="5"/>
  <c r="AC16" i="5"/>
  <c r="AC18" i="5"/>
  <c r="AC22" i="5"/>
  <c r="AC26" i="5"/>
  <c r="AG24" i="5"/>
  <c r="AC32" i="5"/>
  <c r="AC34" i="5"/>
  <c r="AC36" i="5"/>
  <c r="AC38" i="5"/>
  <c r="AC40" i="5"/>
  <c r="AC42" i="5"/>
  <c r="AC44" i="5"/>
  <c r="AC46" i="5"/>
  <c r="AC48" i="5"/>
  <c r="AC50" i="5"/>
  <c r="AC52" i="5"/>
  <c r="AC54" i="5"/>
  <c r="AC56" i="5"/>
</calcChain>
</file>

<file path=xl/sharedStrings.xml><?xml version="1.0" encoding="utf-8"?>
<sst xmlns="http://schemas.openxmlformats.org/spreadsheetml/2006/main" count="1899" uniqueCount="437">
  <si>
    <t>NGL</t>
  </si>
  <si>
    <t>Index</t>
  </si>
  <si>
    <t>Index2</t>
  </si>
  <si>
    <t>Sample</t>
  </si>
  <si>
    <t>CodeManip</t>
  </si>
  <si>
    <t>Sampling Site</t>
  </si>
  <si>
    <t>AMP/ AMT</t>
  </si>
  <si>
    <t>Habitat</t>
  </si>
  <si>
    <t>Replica</t>
  </si>
  <si>
    <t>Collector Name</t>
  </si>
  <si>
    <t>Robot ID</t>
  </si>
  <si>
    <t>Date (Sampling)</t>
  </si>
  <si>
    <t>Latitude</t>
  </si>
  <si>
    <t>Longitude</t>
  </si>
  <si>
    <t>Filtration Depth (m)</t>
  </si>
  <si>
    <t>Reef depth (m)</t>
  </si>
  <si>
    <t>Sampling Time</t>
  </si>
  <si>
    <t>Filtration Duration (min)</t>
  </si>
  <si>
    <t>Filtration Volume (L)</t>
  </si>
  <si>
    <t>Conservation</t>
  </si>
  <si>
    <t>Weather</t>
  </si>
  <si>
    <t xml:space="preserve">Sampling Issue </t>
  </si>
  <si>
    <t>Observation</t>
  </si>
  <si>
    <t>Filter Stock availability</t>
  </si>
  <si>
    <t>Date (Extraction)</t>
  </si>
  <si>
    <t>Qubit Concentration (ng/µL)</t>
  </si>
  <si>
    <t>Final Volume (µL)</t>
  </si>
  <si>
    <t>DNA Volume for 2 ng/µL (µL)</t>
  </si>
  <si>
    <t>H2O Volume (µL)</t>
  </si>
  <si>
    <t>Final Concentration (ng/µL)</t>
  </si>
  <si>
    <t>Final Concentration mesurée au Qubit (ng/µL)</t>
  </si>
  <si>
    <t>Extraction Comments</t>
  </si>
  <si>
    <t>Native DNA availability (µL)</t>
  </si>
  <si>
    <t>2ng/µL DNA Availability</t>
  </si>
  <si>
    <t>Native DNA Stock</t>
  </si>
  <si>
    <t>PCR date</t>
  </si>
  <si>
    <t>PCR Replicates</t>
  </si>
  <si>
    <t>Barcod</t>
  </si>
  <si>
    <t>Primer (Mi-Fish-U ou -E)</t>
  </si>
  <si>
    <t>PCR Sample ID</t>
  </si>
  <si>
    <t>Position</t>
  </si>
  <si>
    <t>DNA 2ng/µL availability (µL)</t>
  </si>
  <si>
    <t>DNA 2ng/µL Stock</t>
  </si>
  <si>
    <t>Purification date</t>
  </si>
  <si>
    <t>Amplicon Concentration (ng/µL)</t>
  </si>
  <si>
    <t>Amplicon availability (µL)</t>
  </si>
  <si>
    <t>Amplicon Stock</t>
  </si>
  <si>
    <t>Purification comments</t>
  </si>
  <si>
    <t>Sequencing date</t>
  </si>
  <si>
    <t>Run name</t>
  </si>
  <si>
    <t>Volume for Pool (µL)</t>
  </si>
  <si>
    <t>Amplicons availability (µL)</t>
  </si>
  <si>
    <t>Amplicons Stock</t>
  </si>
  <si>
    <t>M1L</t>
  </si>
  <si>
    <t>Ahi_LAG_1</t>
  </si>
  <si>
    <t>AMP</t>
  </si>
  <si>
    <t>MotuAhi</t>
  </si>
  <si>
    <t>Lagon</t>
  </si>
  <si>
    <t xml:space="preserve">Coline </t>
  </si>
  <si>
    <t>v3.3</t>
  </si>
  <si>
    <t>17.74500</t>
  </si>
  <si>
    <t>149.85334</t>
  </si>
  <si>
    <t>9h00</t>
  </si>
  <si>
    <t>DNA/RNA Shield + cool box</t>
  </si>
  <si>
    <t>sunny</t>
  </si>
  <si>
    <t>3</t>
  </si>
  <si>
    <t>Elution 14000 + frigo 4°C 20 min etape 1 elution buffer manque tube 5 ml</t>
  </si>
  <si>
    <t>BioMol1, -20°C</t>
  </si>
  <si>
    <t>M2L</t>
  </si>
  <si>
    <t>Ahi_LAG_2</t>
  </si>
  <si>
    <t xml:space="preserve">Lagon </t>
  </si>
  <si>
    <t>9h11</t>
  </si>
  <si>
    <t>M3L</t>
  </si>
  <si>
    <t>Ahi_LAG_3</t>
  </si>
  <si>
    <t>9h21</t>
  </si>
  <si>
    <t>4,02</t>
  </si>
  <si>
    <t>M1F</t>
  </si>
  <si>
    <t>Ahi_FR_1</t>
  </si>
  <si>
    <t>Frangeant</t>
  </si>
  <si>
    <t>17.71889</t>
  </si>
  <si>
    <t>149.91501</t>
  </si>
  <si>
    <t>9h42</t>
  </si>
  <si>
    <t>filtre marron</t>
  </si>
  <si>
    <t>20,2</t>
  </si>
  <si>
    <t>M2F</t>
  </si>
  <si>
    <t>Ahi_FR_2</t>
  </si>
  <si>
    <t>9h52</t>
  </si>
  <si>
    <t>21,6</t>
  </si>
  <si>
    <t>M3F</t>
  </si>
  <si>
    <t>Ahi_FR_3</t>
  </si>
  <si>
    <t>10h03</t>
  </si>
  <si>
    <t>M1P</t>
  </si>
  <si>
    <t>Ahi_PE_1</t>
  </si>
  <si>
    <t>PenteExterne</t>
  </si>
  <si>
    <t>Coline</t>
  </si>
  <si>
    <t>003</t>
  </si>
  <si>
    <t>17.79667</t>
  </si>
  <si>
    <t>149.83278</t>
  </si>
  <si>
    <t>8h53</t>
  </si>
  <si>
    <t xml:space="preserve">DNA/RNA Shield </t>
  </si>
  <si>
    <t>changement de profondeur fréquent du à la houle et au bateau qui tourne</t>
  </si>
  <si>
    <t>3,36</t>
  </si>
  <si>
    <t xml:space="preserve">Elution faite à 14000 rmp au lieu de 16000 car la centrifugeuse avait un max à 14000. </t>
  </si>
  <si>
    <t>M2P</t>
  </si>
  <si>
    <t>Ahi_PE_2</t>
  </si>
  <si>
    <t>9h13</t>
  </si>
  <si>
    <t>3,72</t>
  </si>
  <si>
    <t>M3P</t>
  </si>
  <si>
    <t>Ahi_PE_3</t>
  </si>
  <si>
    <t>9h33</t>
  </si>
  <si>
    <t>3,26</t>
  </si>
  <si>
    <t>A1L</t>
  </si>
  <si>
    <t>Af_LAG_1</t>
  </si>
  <si>
    <t>Afareaitu</t>
  </si>
  <si>
    <t>AMT</t>
  </si>
  <si>
    <t>17.81416</t>
  </si>
  <si>
    <t>149.82527</t>
  </si>
  <si>
    <t>8h45</t>
  </si>
  <si>
    <t>cloud</t>
  </si>
  <si>
    <t>4,14</t>
  </si>
  <si>
    <t>A2L</t>
  </si>
  <si>
    <t>Af_LAG_2</t>
  </si>
  <si>
    <t>8h55</t>
  </si>
  <si>
    <t>3,46</t>
  </si>
  <si>
    <t>A3L</t>
  </si>
  <si>
    <t>Af_LAG_3</t>
  </si>
  <si>
    <t>9h05</t>
  </si>
  <si>
    <t>4,46</t>
  </si>
  <si>
    <t>A1F</t>
  </si>
  <si>
    <t>Af_FR_1</t>
  </si>
  <si>
    <t>17.75694</t>
  </si>
  <si>
    <t>149.89249</t>
  </si>
  <si>
    <t>9h36</t>
  </si>
  <si>
    <t>crépine a toucher le sable au début</t>
  </si>
  <si>
    <t>11,5</t>
  </si>
  <si>
    <t>A2F</t>
  </si>
  <si>
    <t>Af_FR_2</t>
  </si>
  <si>
    <t>9h46</t>
  </si>
  <si>
    <t xml:space="preserve">visi bof, filtre opaque </t>
  </si>
  <si>
    <t>12,8</t>
  </si>
  <si>
    <t>A3F</t>
  </si>
  <si>
    <t>Af_FR_3</t>
  </si>
  <si>
    <t>9h56</t>
  </si>
  <si>
    <t xml:space="preserve">saturation filtre à la sortie cassette </t>
  </si>
  <si>
    <t>8,02</t>
  </si>
  <si>
    <t>A1P</t>
  </si>
  <si>
    <t>Af_PE_1</t>
  </si>
  <si>
    <t>17.60861</t>
  </si>
  <si>
    <t>149.79583</t>
  </si>
  <si>
    <t>10h28</t>
  </si>
  <si>
    <t>A2P</t>
  </si>
  <si>
    <t>Af_PE_2</t>
  </si>
  <si>
    <t>10h50</t>
  </si>
  <si>
    <t>5,14</t>
  </si>
  <si>
    <t>A3P</t>
  </si>
  <si>
    <t>Af_PE_3</t>
  </si>
  <si>
    <t>11h11</t>
  </si>
  <si>
    <t>ABP</t>
  </si>
  <si>
    <t>Af_PE_B</t>
  </si>
  <si>
    <t>B</t>
  </si>
  <si>
    <t>9h50</t>
  </si>
  <si>
    <t>0,602</t>
  </si>
  <si>
    <t>P1L</t>
  </si>
  <si>
    <t>Pi_LAG_1</t>
  </si>
  <si>
    <t>Pihaena</t>
  </si>
  <si>
    <t>Lucie</t>
  </si>
  <si>
    <t>17.73277</t>
  </si>
  <si>
    <t>150.00972</t>
  </si>
  <si>
    <t>crépine a touché le sable donc beaucoup de sable dans le filtre</t>
  </si>
  <si>
    <t>11,0</t>
  </si>
  <si>
    <t>P2L</t>
  </si>
  <si>
    <t>Pi_LAG_2</t>
  </si>
  <si>
    <t>11h</t>
  </si>
  <si>
    <t>21,0</t>
  </si>
  <si>
    <t>P3L</t>
  </si>
  <si>
    <t>Pi_LAG_3</t>
  </si>
  <si>
    <t>11h10</t>
  </si>
  <si>
    <t>17,0</t>
  </si>
  <si>
    <t>P1F</t>
  </si>
  <si>
    <t>Pi_FR_1</t>
  </si>
  <si>
    <t>17.50361</t>
  </si>
  <si>
    <t>150.00472</t>
  </si>
  <si>
    <t>11h25</t>
  </si>
  <si>
    <t>sand</t>
  </si>
  <si>
    <t>P2F</t>
  </si>
  <si>
    <t>Pi_FR_2</t>
  </si>
  <si>
    <t>11h35</t>
  </si>
  <si>
    <t>20,0</t>
  </si>
  <si>
    <t>P3F</t>
  </si>
  <si>
    <t>Pi_FR_3</t>
  </si>
  <si>
    <t>11h45</t>
  </si>
  <si>
    <t>P1P</t>
  </si>
  <si>
    <t>Pi_PE_1</t>
  </si>
  <si>
    <t>17.63222</t>
  </si>
  <si>
    <t>150.02277</t>
  </si>
  <si>
    <t>8h31</t>
  </si>
  <si>
    <t>P2P</t>
  </si>
  <si>
    <t>Pi_PE_2</t>
  </si>
  <si>
    <t>8h37</t>
  </si>
  <si>
    <t>eau trouble</t>
  </si>
  <si>
    <t>30,6</t>
  </si>
  <si>
    <t>P3P</t>
  </si>
  <si>
    <t>Pi_PE_3</t>
  </si>
  <si>
    <t>8h52</t>
  </si>
  <si>
    <t>27,8</t>
  </si>
  <si>
    <t>PBP</t>
  </si>
  <si>
    <t>Pi_PE_B</t>
  </si>
  <si>
    <t>Entre2Baies</t>
  </si>
  <si>
    <t>17.63223</t>
  </si>
  <si>
    <t>150.02278</t>
  </si>
  <si>
    <t>10h37</t>
  </si>
  <si>
    <t>0,414</t>
  </si>
  <si>
    <t>E1L</t>
  </si>
  <si>
    <t>E2B_LAG_1</t>
  </si>
  <si>
    <t>17.69361</t>
  </si>
  <si>
    <t>149.89055</t>
  </si>
  <si>
    <t>13h</t>
  </si>
  <si>
    <t>23,4</t>
  </si>
  <si>
    <t>E2L</t>
  </si>
  <si>
    <t>E2B_LAG_2</t>
  </si>
  <si>
    <t>13h10</t>
  </si>
  <si>
    <t>20,4</t>
  </si>
  <si>
    <t>E3L</t>
  </si>
  <si>
    <t>E2B_LAG_3</t>
  </si>
  <si>
    <t>13h20</t>
  </si>
  <si>
    <t>19,7</t>
  </si>
  <si>
    <t>E1F</t>
  </si>
  <si>
    <t>E2B_FR_1</t>
  </si>
  <si>
    <t>17.49527</t>
  </si>
  <si>
    <t>149.88638</t>
  </si>
  <si>
    <t>12h</t>
  </si>
  <si>
    <t>13,0</t>
  </si>
  <si>
    <t>E2F</t>
  </si>
  <si>
    <t>E2B_FR_2</t>
  </si>
  <si>
    <t>12h10</t>
  </si>
  <si>
    <t>15,2</t>
  </si>
  <si>
    <t>E3F</t>
  </si>
  <si>
    <t>E2B_FR_3</t>
  </si>
  <si>
    <t>12h20</t>
  </si>
  <si>
    <t xml:space="preserve">le robot a glissé de la corde -&gt; beaucoup de sable dans le filtre ... j'ai du en retirer pour que ça rentre .. </t>
  </si>
  <si>
    <t>E1P</t>
  </si>
  <si>
    <t>E2B_PE_1</t>
  </si>
  <si>
    <t>17.61444</t>
  </si>
  <si>
    <t>149.89500</t>
  </si>
  <si>
    <t>9h49</t>
  </si>
  <si>
    <t>reel coordinates : 17.47563S 149.83728</t>
  </si>
  <si>
    <t>25,2</t>
  </si>
  <si>
    <t>E2P</t>
  </si>
  <si>
    <t>E2B_PE_2</t>
  </si>
  <si>
    <t>10h13</t>
  </si>
  <si>
    <t>10,6</t>
  </si>
  <si>
    <t>E3P</t>
  </si>
  <si>
    <t>E2B_PE_3</t>
  </si>
  <si>
    <t>reel coordinates : 17.47563S 149.83728. décrochage du robot trop profond avec le courant, récupération par Gilles, aucun dégat extérieur</t>
  </si>
  <si>
    <t>T1L</t>
  </si>
  <si>
    <t>Ta_LAG_1</t>
  </si>
  <si>
    <t>Taotaha</t>
  </si>
  <si>
    <t>17.77388</t>
  </si>
  <si>
    <t>150.16388</t>
  </si>
  <si>
    <t>10h22</t>
  </si>
  <si>
    <t>dascyllus auranus et chromis viridis</t>
  </si>
  <si>
    <t>T2L</t>
  </si>
  <si>
    <t>Ta_LAG_2</t>
  </si>
  <si>
    <t>10h31</t>
  </si>
  <si>
    <t>13,5</t>
  </si>
  <si>
    <t>T3L</t>
  </si>
  <si>
    <t>Ta_LAG_3</t>
  </si>
  <si>
    <t>10h40</t>
  </si>
  <si>
    <t>10,2</t>
  </si>
  <si>
    <t>T1F</t>
  </si>
  <si>
    <t>Ta_FR_1</t>
  </si>
  <si>
    <t>17.73638</t>
  </si>
  <si>
    <t>150.08722</t>
  </si>
  <si>
    <t>11h12</t>
  </si>
  <si>
    <t>rainy</t>
  </si>
  <si>
    <t>un peu tapé dans les coraux</t>
  </si>
  <si>
    <t>15,6</t>
  </si>
  <si>
    <t>T2F</t>
  </si>
  <si>
    <t>Ta_FR_2</t>
  </si>
  <si>
    <t>11h21</t>
  </si>
  <si>
    <t xml:space="preserve">un peu tapé dans les coraux </t>
  </si>
  <si>
    <t>T3F</t>
  </si>
  <si>
    <t>Ta_FR_3</t>
  </si>
  <si>
    <t>11h30</t>
  </si>
  <si>
    <t>15,8</t>
  </si>
  <si>
    <t>T1P</t>
  </si>
  <si>
    <t>Ta_PE_1</t>
  </si>
  <si>
    <t>17.53388</t>
  </si>
  <si>
    <t>149.95250</t>
  </si>
  <si>
    <t>10h06</t>
  </si>
  <si>
    <t>arrêt du robot à 10h29, filtre clair et biomasse faible</t>
  </si>
  <si>
    <t>T2P</t>
  </si>
  <si>
    <t>Ta_PE_2</t>
  </si>
  <si>
    <t>arrêt du robot à 10h14, filtre clair et biomasse faible</t>
  </si>
  <si>
    <t>T3P</t>
  </si>
  <si>
    <t>Ta_PE_3</t>
  </si>
  <si>
    <t>10h16</t>
  </si>
  <si>
    <t>2,72</t>
  </si>
  <si>
    <t>H1L</t>
  </si>
  <si>
    <t>Hpt_LAG_1</t>
  </si>
  <si>
    <t>Haapiti</t>
  </si>
  <si>
    <t>17.56555</t>
  </si>
  <si>
    <t>150.09777</t>
  </si>
  <si>
    <t>17,8</t>
  </si>
  <si>
    <t>H2L</t>
  </si>
  <si>
    <t>Hpt_LAG_2</t>
  </si>
  <si>
    <t>14,7</t>
  </si>
  <si>
    <t>H3L</t>
  </si>
  <si>
    <t>Hpt_LAG_3</t>
  </si>
  <si>
    <t>9h04</t>
  </si>
  <si>
    <t>H1F</t>
  </si>
  <si>
    <t>Hpt_FR_1</t>
  </si>
  <si>
    <t>17.74916</t>
  </si>
  <si>
    <t>150.03750</t>
  </si>
  <si>
    <t>9h27</t>
  </si>
  <si>
    <t>H2F</t>
  </si>
  <si>
    <t>Hpt_FR_2</t>
  </si>
  <si>
    <t>H3F</t>
  </si>
  <si>
    <t>Hpt_FR_3</t>
  </si>
  <si>
    <t>9h47</t>
  </si>
  <si>
    <t>H1P</t>
  </si>
  <si>
    <t>Hpt_PE_1</t>
  </si>
  <si>
    <t>17.62305</t>
  </si>
  <si>
    <t>150.12333</t>
  </si>
  <si>
    <t>8h46</t>
  </si>
  <si>
    <t>H2P</t>
  </si>
  <si>
    <t>Hpt_PE_2</t>
  </si>
  <si>
    <t>H3P</t>
  </si>
  <si>
    <t>Hpt_PE_3</t>
  </si>
  <si>
    <t>9h09</t>
  </si>
  <si>
    <t>arrêt du robot à 9h17</t>
  </si>
  <si>
    <t>HBP</t>
  </si>
  <si>
    <t>Hpt_PE_B</t>
  </si>
  <si>
    <t>9h20</t>
  </si>
  <si>
    <t>1,3</t>
  </si>
  <si>
    <t>4,34</t>
  </si>
  <si>
    <t>14,6</t>
  </si>
  <si>
    <t>3,88</t>
  </si>
  <si>
    <t>4,66</t>
  </si>
  <si>
    <t>15,5</t>
  </si>
  <si>
    <t>13,7</t>
  </si>
  <si>
    <t>16,4</t>
  </si>
  <si>
    <t>3,04</t>
  </si>
  <si>
    <t>7,30</t>
  </si>
  <si>
    <t>4,72</t>
  </si>
  <si>
    <t>10,3</t>
  </si>
  <si>
    <t>7,9</t>
  </si>
  <si>
    <t>19,6</t>
  </si>
  <si>
    <t>TN_1</t>
  </si>
  <si>
    <t>TP_1</t>
  </si>
  <si>
    <t>TP_2</t>
  </si>
  <si>
    <t>Mi-Fish-U</t>
  </si>
  <si>
    <t>Sample ID</t>
  </si>
  <si>
    <t>CG</t>
  </si>
  <si>
    <t>AE</t>
  </si>
  <si>
    <t>BF</t>
  </si>
  <si>
    <t>Amplicon Concentration diluted (ng/µL)</t>
  </si>
  <si>
    <t>Gel</t>
  </si>
  <si>
    <t>IMG_0169bis_1</t>
  </si>
  <si>
    <t>IMG_0171bis_1</t>
  </si>
  <si>
    <t>IMG_0171bis_2</t>
  </si>
  <si>
    <t>IMG_0171bis_3</t>
  </si>
  <si>
    <t>IMG_0171bis_5</t>
  </si>
  <si>
    <t>IMG_0171bis_10</t>
  </si>
  <si>
    <t>Quantity</t>
  </si>
  <si>
    <t>IMG_0139_1</t>
  </si>
  <si>
    <t>IMG_0139_2</t>
  </si>
  <si>
    <t>IMG_0139_3</t>
  </si>
  <si>
    <t>IMG_0139_4</t>
  </si>
  <si>
    <t>TN_2</t>
  </si>
  <si>
    <t>IMG_0139_10</t>
  </si>
  <si>
    <t>IMG_0138_1</t>
  </si>
  <si>
    <t>IMG_0138_2</t>
  </si>
  <si>
    <t>IMG_0138_3</t>
  </si>
  <si>
    <t>IMG_0138_4</t>
  </si>
  <si>
    <t>IMG_0138_5</t>
  </si>
  <si>
    <t>IMG_0138_6</t>
  </si>
  <si>
    <t>IMG_0138_9</t>
  </si>
  <si>
    <t xml:space="preserve">IMG_0171bis_8 et </t>
  </si>
  <si>
    <t>IMG_0194_2</t>
  </si>
  <si>
    <t>IMG_0194_5</t>
  </si>
  <si>
    <t>IMG_0194_8</t>
  </si>
  <si>
    <t>IMG_0139_9 et IMG_0194_10</t>
  </si>
  <si>
    <t>IMG_0196_1</t>
  </si>
  <si>
    <t>IMG_0196_2</t>
  </si>
  <si>
    <t>IMG_0196_3</t>
  </si>
  <si>
    <t>IMG_0196_4</t>
  </si>
  <si>
    <t>IMG_0196_5</t>
  </si>
  <si>
    <t>IMG_0196_7</t>
  </si>
  <si>
    <t>IMG_0196_9</t>
  </si>
  <si>
    <t>IMG_0196_10</t>
  </si>
  <si>
    <t>IMG_0202_1</t>
  </si>
  <si>
    <t>IMG_0202_2</t>
  </si>
  <si>
    <t>IMG_0202_3</t>
  </si>
  <si>
    <t>IMG_0202_4</t>
  </si>
  <si>
    <t>IMG_0202_8</t>
  </si>
  <si>
    <t>IMG000909_3</t>
  </si>
  <si>
    <t>Run_1</t>
  </si>
  <si>
    <t>IMG000909_4</t>
  </si>
  <si>
    <t>IMG000909_5</t>
  </si>
  <si>
    <t>TOO HIGH</t>
  </si>
  <si>
    <t>IM000907_6</t>
  </si>
  <si>
    <t>IMG000909_8</t>
  </si>
  <si>
    <t>IMG000909_9</t>
  </si>
  <si>
    <t>IMG000909_10</t>
  </si>
  <si>
    <t>IMG000909_11</t>
  </si>
  <si>
    <t>IMG000909_12</t>
  </si>
  <si>
    <t>IMG000909_13</t>
  </si>
  <si>
    <t>IMG000909_16</t>
  </si>
  <si>
    <t>Run_2</t>
  </si>
  <si>
    <t>IMG000909_17</t>
  </si>
  <si>
    <t>IMG000909_18</t>
  </si>
  <si>
    <t>IMG000909_19</t>
  </si>
  <si>
    <t>IMG000909_20</t>
  </si>
  <si>
    <t>IMG000909_21</t>
  </si>
  <si>
    <t>IMG000909_22</t>
  </si>
  <si>
    <t>IMG000909_23</t>
  </si>
  <si>
    <t>IMG000909_24</t>
  </si>
  <si>
    <t>TP_18/12</t>
  </si>
  <si>
    <t>IMG000909_2 et 15</t>
  </si>
  <si>
    <t>TN_19/12</t>
  </si>
  <si>
    <t>IM000907_7</t>
  </si>
  <si>
    <t>IM000907_8</t>
  </si>
  <si>
    <t>Control</t>
  </si>
  <si>
    <t>IMG_0171bis_7</t>
  </si>
  <si>
    <t>Entre 2 baies</t>
  </si>
  <si>
    <t>Motu Ahi</t>
  </si>
  <si>
    <t>Outer slope</t>
  </si>
  <si>
    <t>Fringing reef</t>
  </si>
  <si>
    <t>Barrier reef</t>
  </si>
  <si>
    <t>Primers</t>
  </si>
  <si>
    <t>Marine Area</t>
  </si>
  <si>
    <t>non-MPA</t>
  </si>
  <si>
    <t>MPA</t>
  </si>
  <si>
    <t>H2O Volume for 50 µL final (µL)</t>
  </si>
  <si>
    <t>Extraction date</t>
  </si>
  <si>
    <t>Sampling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</si>
</sst>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3F3F3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1"/>
  </cellStyleXfs>
  <cellXfs count="211">
    <xf numFmtId="0" fontId="0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3" fillId="8" borderId="3" xfId="0" applyFont="1" applyFill="1" applyBorder="1" applyAlignment="1">
      <alignment horizontal="center" vertical="center"/>
    </xf>
    <xf numFmtId="49" fontId="3" fillId="9" borderId="4" xfId="0" applyNumberFormat="1" applyFont="1" applyFill="1" applyBorder="1" applyAlignment="1">
      <alignment horizontal="center" vertical="center"/>
    </xf>
    <xf numFmtId="164" fontId="3" fillId="9" borderId="4" xfId="0" applyNumberFormat="1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center" vertical="center"/>
    </xf>
    <xf numFmtId="14" fontId="3" fillId="9" borderId="4" xfId="0" applyNumberFormat="1" applyFont="1" applyFill="1" applyBorder="1" applyAlignment="1">
      <alignment horizontal="center" vertical="center"/>
    </xf>
    <xf numFmtId="2" fontId="3" fillId="9" borderId="4" xfId="0" applyNumberFormat="1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left" vertical="center"/>
    </xf>
    <xf numFmtId="0" fontId="3" fillId="11" borderId="4" xfId="0" applyFont="1" applyFill="1" applyBorder="1" applyAlignment="1">
      <alignment horizontal="center" vertical="center"/>
    </xf>
    <xf numFmtId="2" fontId="3" fillId="11" borderId="4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4" fontId="3" fillId="4" borderId="1" xfId="0" applyNumberFormat="1" applyFont="1" applyFill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/>
    </xf>
    <xf numFmtId="2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49" fontId="3" fillId="7" borderId="4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9" fontId="3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2" xfId="0" applyFont="1" applyBorder="1"/>
    <xf numFmtId="0" fontId="3" fillId="0" borderId="0" xfId="0" applyFont="1" applyAlignment="1">
      <alignment horizontal="center"/>
    </xf>
    <xf numFmtId="14" fontId="3" fillId="0" borderId="0" xfId="0" applyNumberFormat="1" applyFont="1"/>
    <xf numFmtId="0" fontId="3" fillId="2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2" fontId="3" fillId="14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2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left" vertical="center"/>
    </xf>
    <xf numFmtId="2" fontId="3" fillId="0" borderId="6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0" fontId="6" fillId="16" borderId="6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2" fontId="3" fillId="0" borderId="6" xfId="0" applyNumberFormat="1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14" fontId="0" fillId="0" borderId="6" xfId="0" applyNumberFormat="1" applyFont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14" fontId="0" fillId="0" borderId="1" xfId="0" applyNumberFormat="1" applyFont="1" applyBorder="1" applyAlignment="1">
      <alignment horizontal="center"/>
    </xf>
    <xf numFmtId="0" fontId="3" fillId="9" borderId="6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3" fillId="14" borderId="6" xfId="0" applyFont="1" applyFill="1" applyBorder="1" applyAlignment="1">
      <alignment horizontal="center" vertical="center"/>
    </xf>
    <xf numFmtId="0" fontId="7" fillId="16" borderId="6" xfId="0" applyFont="1" applyFill="1" applyBorder="1" applyAlignment="1">
      <alignment horizontal="center" vertical="center"/>
    </xf>
    <xf numFmtId="0" fontId="3" fillId="14" borderId="6" xfId="0" applyNumberFormat="1" applyFont="1" applyFill="1" applyBorder="1" applyAlignment="1">
      <alignment horizontal="center" vertical="center"/>
    </xf>
    <xf numFmtId="2" fontId="3" fillId="14" borderId="6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2" fontId="9" fillId="0" borderId="6" xfId="0" applyNumberFormat="1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/>
    </xf>
    <xf numFmtId="0" fontId="0" fillId="0" borderId="6" xfId="0" applyNumberFormat="1" applyFont="1" applyFill="1" applyBorder="1" applyAlignment="1">
      <alignment horizontal="center"/>
    </xf>
    <xf numFmtId="2" fontId="0" fillId="0" borderId="6" xfId="0" applyNumberFormat="1" applyFont="1" applyBorder="1" applyAlignment="1">
      <alignment horizontal="center"/>
    </xf>
    <xf numFmtId="0" fontId="0" fillId="14" borderId="1" xfId="0" applyFont="1" applyFill="1" applyBorder="1" applyAlignment="1">
      <alignment horizontal="center"/>
    </xf>
    <xf numFmtId="14" fontId="3" fillId="3" borderId="8" xfId="0" applyNumberFormat="1" applyFont="1" applyFill="1" applyBorder="1" applyAlignment="1">
      <alignment horizontal="center" vertical="center" wrapText="1"/>
    </xf>
    <xf numFmtId="14" fontId="3" fillId="0" borderId="8" xfId="0" applyNumberFormat="1" applyFont="1" applyBorder="1" applyAlignment="1">
      <alignment horizontal="center" vertical="center"/>
    </xf>
    <xf numFmtId="14" fontId="0" fillId="0" borderId="8" xfId="0" applyNumberFormat="1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14" fontId="3" fillId="14" borderId="8" xfId="0" applyNumberFormat="1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3" fillId="9" borderId="6" xfId="0" applyNumberFormat="1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4" fontId="3" fillId="0" borderId="8" xfId="0" applyNumberFormat="1" applyFont="1" applyFill="1" applyBorder="1" applyAlignment="1">
      <alignment horizontal="center" vertical="center"/>
    </xf>
    <xf numFmtId="14" fontId="7" fillId="0" borderId="8" xfId="0" applyNumberFormat="1" applyFont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 wrapText="1"/>
    </xf>
    <xf numFmtId="14" fontId="9" fillId="0" borderId="8" xfId="0" applyNumberFormat="1" applyFont="1" applyFill="1" applyBorder="1" applyAlignment="1">
      <alignment horizontal="center" vertical="center"/>
    </xf>
    <xf numFmtId="0" fontId="0" fillId="14" borderId="8" xfId="0" applyFont="1" applyFill="1" applyBorder="1" applyAlignment="1">
      <alignment horizontal="center"/>
    </xf>
    <xf numFmtId="49" fontId="3" fillId="9" borderId="6" xfId="0" applyNumberFormat="1" applyFont="1" applyFill="1" applyBorder="1" applyAlignment="1">
      <alignment horizontal="center" vertical="center"/>
    </xf>
    <xf numFmtId="14" fontId="3" fillId="9" borderId="6" xfId="0" applyNumberFormat="1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left" vertical="center"/>
    </xf>
    <xf numFmtId="14" fontId="3" fillId="9" borderId="7" xfId="0" applyNumberFormat="1" applyFont="1" applyFill="1" applyBorder="1" applyAlignment="1">
      <alignment horizontal="center" vertical="center"/>
    </xf>
    <xf numFmtId="0" fontId="0" fillId="0" borderId="6" xfId="0" applyFont="1" applyBorder="1" applyAlignment="1">
      <alignment horizontal="left"/>
    </xf>
    <xf numFmtId="14" fontId="0" fillId="0" borderId="7" xfId="0" applyNumberFormat="1" applyFont="1" applyBorder="1" applyAlignment="1">
      <alignment horizontal="center"/>
    </xf>
    <xf numFmtId="14" fontId="9" fillId="0" borderId="7" xfId="0" applyNumberFormat="1" applyFont="1" applyFill="1" applyBorder="1" applyAlignment="1">
      <alignment horizontal="center" vertical="center"/>
    </xf>
    <xf numFmtId="2" fontId="3" fillId="11" borderId="6" xfId="0" applyNumberFormat="1" applyFont="1" applyFill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4" fontId="1" fillId="0" borderId="0" xfId="0" applyNumberFormat="1" applyFont="1"/>
    <xf numFmtId="49" fontId="0" fillId="0" borderId="1" xfId="0" applyNumberFormat="1" applyFont="1" applyBorder="1" applyAlignment="1">
      <alignment horizontal="center"/>
    </xf>
    <xf numFmtId="49" fontId="0" fillId="0" borderId="6" xfId="0" applyNumberFormat="1" applyFont="1" applyBorder="1" applyAlignment="1">
      <alignment horizontal="center"/>
    </xf>
    <xf numFmtId="0" fontId="6" fillId="5" borderId="8" xfId="0" applyFont="1" applyFill="1" applyBorder="1" applyAlignment="1">
      <alignment horizontal="center" vertical="center" wrapText="1"/>
    </xf>
    <xf numFmtId="14" fontId="0" fillId="0" borderId="8" xfId="0" applyNumberFormat="1" applyFont="1" applyFill="1" applyBorder="1" applyAlignment="1">
      <alignment horizontal="center"/>
    </xf>
    <xf numFmtId="14" fontId="3" fillId="14" borderId="7" xfId="0" applyNumberFormat="1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14" fontId="3" fillId="18" borderId="1" xfId="0" applyNumberFormat="1" applyFont="1" applyFill="1" applyBorder="1" applyAlignment="1">
      <alignment horizontal="center" vertical="center"/>
    </xf>
    <xf numFmtId="49" fontId="3" fillId="18" borderId="1" xfId="0" applyNumberFormat="1" applyFont="1" applyFill="1" applyBorder="1" applyAlignment="1">
      <alignment horizontal="center" vertical="center"/>
    </xf>
    <xf numFmtId="14" fontId="3" fillId="18" borderId="8" xfId="0" applyNumberFormat="1" applyFont="1" applyFill="1" applyBorder="1" applyAlignment="1">
      <alignment horizontal="center" vertical="center"/>
    </xf>
    <xf numFmtId="14" fontId="0" fillId="14" borderId="1" xfId="0" applyNumberFormat="1" applyFont="1" applyFill="1" applyBorder="1" applyAlignment="1">
      <alignment horizontal="center"/>
    </xf>
    <xf numFmtId="0" fontId="0" fillId="14" borderId="1" xfId="0" applyFont="1" applyFill="1" applyBorder="1" applyAlignment="1">
      <alignment horizontal="left"/>
    </xf>
    <xf numFmtId="14" fontId="8" fillId="14" borderId="8" xfId="0" applyNumberFormat="1" applyFont="1" applyFill="1" applyBorder="1" applyAlignment="1">
      <alignment horizontal="center"/>
    </xf>
    <xf numFmtId="2" fontId="9" fillId="14" borderId="1" xfId="0" applyNumberFormat="1" applyFont="1" applyFill="1" applyBorder="1" applyAlignment="1">
      <alignment horizontal="center" vertical="center"/>
    </xf>
    <xf numFmtId="14" fontId="3" fillId="14" borderId="1" xfId="0" applyNumberFormat="1" applyFont="1" applyFill="1" applyBorder="1" applyAlignment="1">
      <alignment horizontal="center"/>
    </xf>
    <xf numFmtId="49" fontId="3" fillId="14" borderId="1" xfId="0" applyNumberFormat="1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14" fontId="5" fillId="14" borderId="8" xfId="0" applyNumberFormat="1" applyFont="1" applyFill="1" applyBorder="1" applyAlignment="1">
      <alignment horizontal="center"/>
    </xf>
    <xf numFmtId="14" fontId="2" fillId="14" borderId="8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8" xfId="0" applyNumberFormat="1" applyFont="1" applyFill="1" applyBorder="1" applyAlignment="1">
      <alignment horizontal="center" vertical="center"/>
    </xf>
    <xf numFmtId="14" fontId="7" fillId="0" borderId="7" xfId="0" applyNumberFormat="1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/>
    </xf>
    <xf numFmtId="2" fontId="7" fillId="13" borderId="8" xfId="0" applyNumberFormat="1" applyFont="1" applyFill="1" applyBorder="1" applyAlignment="1">
      <alignment horizontal="center" vertical="center" wrapText="1"/>
    </xf>
    <xf numFmtId="14" fontId="7" fillId="14" borderId="7" xfId="0" applyNumberFormat="1" applyFont="1" applyFill="1" applyBorder="1" applyAlignment="1">
      <alignment horizontal="center" vertical="center"/>
    </xf>
    <xf numFmtId="14" fontId="7" fillId="14" borderId="8" xfId="0" applyNumberFormat="1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14" fontId="0" fillId="14" borderId="8" xfId="0" applyNumberFormat="1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14" fontId="9" fillId="14" borderId="8" xfId="0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2" fontId="7" fillId="0" borderId="1" xfId="0" applyNumberFormat="1" applyFont="1" applyFill="1" applyBorder="1" applyAlignment="1">
      <alignment horizontal="center" vertical="center"/>
    </xf>
    <xf numFmtId="2" fontId="7" fillId="0" borderId="6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 vertical="center"/>
    </xf>
    <xf numFmtId="2" fontId="7" fillId="14" borderId="6" xfId="0" applyNumberFormat="1" applyFont="1" applyFill="1" applyBorder="1" applyAlignment="1">
      <alignment horizontal="center" vertical="center"/>
    </xf>
    <xf numFmtId="14" fontId="10" fillId="0" borderId="8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18" borderId="6" xfId="0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4" fontId="10" fillId="0" borderId="7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0" fontId="7" fillId="13" borderId="6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15" borderId="6" xfId="0" applyFont="1" applyFill="1" applyBorder="1" applyAlignment="1">
      <alignment horizontal="center" vertical="center"/>
    </xf>
    <xf numFmtId="0" fontId="7" fillId="17" borderId="6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0" fontId="7" fillId="19" borderId="6" xfId="0" applyFont="1" applyFill="1" applyBorder="1" applyAlignment="1">
      <alignment horizontal="center" vertical="center"/>
    </xf>
    <xf numFmtId="0" fontId="3" fillId="17" borderId="6" xfId="0" applyFont="1" applyFill="1" applyBorder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/>
    </xf>
    <xf numFmtId="2" fontId="3" fillId="18" borderId="1" xfId="0" applyNumberFormat="1" applyFont="1" applyFill="1" applyBorder="1" applyAlignment="1">
      <alignment horizontal="center" vertical="center"/>
    </xf>
    <xf numFmtId="2" fontId="9" fillId="14" borderId="1" xfId="0" applyNumberFormat="1" applyFont="1" applyFill="1" applyBorder="1" applyAlignment="1">
      <alignment horizontal="center"/>
    </xf>
    <xf numFmtId="2" fontId="3" fillId="14" borderId="1" xfId="0" applyNumberFormat="1" applyFont="1" applyFill="1" applyBorder="1" applyAlignment="1">
      <alignment horizontal="center"/>
    </xf>
    <xf numFmtId="0" fontId="0" fillId="0" borderId="6" xfId="0" applyNumberFormat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2B9FF"/>
      <color rgb="FFC5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5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5" sqref="O5"/>
    </sheetView>
  </sheetViews>
  <sheetFormatPr baseColWidth="10" defaultColWidth="14.42578125" defaultRowHeight="15" customHeight="1" x14ac:dyDescent="0.25"/>
  <cols>
    <col min="1" max="6" width="14.7109375" style="95" customWidth="1"/>
    <col min="7" max="7" width="17.7109375" style="104" customWidth="1"/>
    <col min="8" max="14" width="14.7109375" style="95" customWidth="1"/>
    <col min="15" max="15" width="24.140625" style="94" customWidth="1"/>
    <col min="16" max="16" width="14.7109375" style="95" customWidth="1"/>
    <col min="17" max="17" width="14.7109375" style="120" customWidth="1"/>
    <col min="18" max="20" width="14.7109375" style="96" customWidth="1"/>
    <col min="21" max="21" width="14.7109375" style="171" customWidth="1"/>
    <col min="22" max="22" width="14.7109375" style="186" customWidth="1"/>
    <col min="23" max="23" width="14.5703125" style="95" customWidth="1"/>
    <col min="24" max="24" width="14.7109375" style="121" customWidth="1"/>
    <col min="25" max="25" width="14.7109375" style="96" customWidth="1"/>
    <col min="26" max="26" width="14.7109375" style="95" customWidth="1"/>
    <col min="27" max="27" width="26.5703125" style="95" customWidth="1"/>
    <col min="28" max="28" width="14.7109375" style="121" customWidth="1"/>
    <col min="29" max="29" width="14.7109375" style="95" customWidth="1"/>
    <col min="30" max="30" width="14.7109375" style="102" customWidth="1"/>
    <col min="31" max="31" width="14.7109375" style="96" customWidth="1"/>
    <col min="32" max="32" width="14.42578125" style="96"/>
    <col min="33" max="16384" width="14.42578125" style="95"/>
  </cols>
  <sheetData>
    <row r="1" spans="1:32" ht="45" x14ac:dyDescent="0.25">
      <c r="A1" s="1" t="s">
        <v>352</v>
      </c>
      <c r="B1" s="1" t="s">
        <v>5</v>
      </c>
      <c r="C1" s="1" t="s">
        <v>431</v>
      </c>
      <c r="D1" s="1" t="s">
        <v>7</v>
      </c>
      <c r="E1" s="1" t="s">
        <v>8</v>
      </c>
      <c r="F1" s="1" t="s">
        <v>9</v>
      </c>
      <c r="G1" s="55" t="s">
        <v>436</v>
      </c>
      <c r="H1" s="2" t="s">
        <v>12</v>
      </c>
      <c r="I1" s="2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18" t="s">
        <v>435</v>
      </c>
      <c r="R1" s="7" t="s">
        <v>25</v>
      </c>
      <c r="S1" s="7" t="s">
        <v>27</v>
      </c>
      <c r="T1" s="7" t="s">
        <v>434</v>
      </c>
      <c r="U1" s="172" t="s">
        <v>35</v>
      </c>
      <c r="V1" s="193" t="s">
        <v>37</v>
      </c>
      <c r="W1" s="10" t="s">
        <v>430</v>
      </c>
      <c r="X1" s="151" t="s">
        <v>43</v>
      </c>
      <c r="Y1" s="59" t="s">
        <v>44</v>
      </c>
      <c r="Z1" s="11" t="s">
        <v>356</v>
      </c>
      <c r="AA1" s="58" t="s">
        <v>357</v>
      </c>
      <c r="AB1" s="129" t="s">
        <v>48</v>
      </c>
      <c r="AC1" s="12" t="s">
        <v>49</v>
      </c>
      <c r="AD1" s="61" t="s">
        <v>364</v>
      </c>
      <c r="AE1" s="60" t="s">
        <v>50</v>
      </c>
    </row>
    <row r="2" spans="1:32" x14ac:dyDescent="0.25">
      <c r="A2" s="50" t="s">
        <v>111</v>
      </c>
      <c r="B2" s="50" t="s">
        <v>113</v>
      </c>
      <c r="C2" s="50" t="s">
        <v>432</v>
      </c>
      <c r="D2" s="50" t="s">
        <v>429</v>
      </c>
      <c r="E2" s="50">
        <v>1</v>
      </c>
      <c r="F2" s="50" t="s">
        <v>58</v>
      </c>
      <c r="G2" s="69">
        <v>45352</v>
      </c>
      <c r="H2" s="81" t="s">
        <v>115</v>
      </c>
      <c r="I2" s="81" t="s">
        <v>116</v>
      </c>
      <c r="J2" s="50">
        <v>1</v>
      </c>
      <c r="K2" s="50">
        <v>1</v>
      </c>
      <c r="L2" s="50" t="s">
        <v>117</v>
      </c>
      <c r="M2" s="50">
        <v>8</v>
      </c>
      <c r="N2" s="50">
        <v>20</v>
      </c>
      <c r="O2" s="57" t="s">
        <v>63</v>
      </c>
      <c r="P2" s="50" t="s">
        <v>118</v>
      </c>
      <c r="Q2" s="119">
        <v>45356</v>
      </c>
      <c r="R2" s="72">
        <v>4.1399999999999997</v>
      </c>
      <c r="S2" s="78">
        <v>24.154589371980677</v>
      </c>
      <c r="T2" s="78">
        <v>25.845410628019323</v>
      </c>
      <c r="U2" s="169">
        <v>45443</v>
      </c>
      <c r="V2" s="74">
        <v>1</v>
      </c>
      <c r="W2" s="50" t="s">
        <v>351</v>
      </c>
      <c r="X2" s="119">
        <v>45504</v>
      </c>
      <c r="Y2" s="180">
        <v>28.6</v>
      </c>
      <c r="Z2" s="50"/>
      <c r="AA2" s="68" t="s">
        <v>383</v>
      </c>
      <c r="AB2" s="127">
        <v>45514</v>
      </c>
      <c r="AC2" s="73" t="s">
        <v>353</v>
      </c>
      <c r="AD2" s="72">
        <v>100</v>
      </c>
      <c r="AE2" s="70">
        <v>3.4965034965034962</v>
      </c>
    </row>
    <row r="3" spans="1:32" x14ac:dyDescent="0.25">
      <c r="A3" s="52" t="s">
        <v>120</v>
      </c>
      <c r="B3" s="50" t="s">
        <v>113</v>
      </c>
      <c r="C3" s="50" t="s">
        <v>432</v>
      </c>
      <c r="D3" s="50" t="s">
        <v>429</v>
      </c>
      <c r="E3" s="50">
        <v>2</v>
      </c>
      <c r="F3" s="50" t="s">
        <v>58</v>
      </c>
      <c r="G3" s="69">
        <v>45352</v>
      </c>
      <c r="H3" s="81" t="s">
        <v>115</v>
      </c>
      <c r="I3" s="81" t="s">
        <v>116</v>
      </c>
      <c r="J3" s="50">
        <v>1</v>
      </c>
      <c r="K3" s="50">
        <v>1</v>
      </c>
      <c r="L3" s="50" t="s">
        <v>122</v>
      </c>
      <c r="M3" s="50">
        <v>8</v>
      </c>
      <c r="N3" s="50">
        <v>20</v>
      </c>
      <c r="O3" s="57" t="s">
        <v>63</v>
      </c>
      <c r="P3" s="50" t="s">
        <v>118</v>
      </c>
      <c r="Q3" s="119">
        <v>45356</v>
      </c>
      <c r="R3" s="79">
        <v>3.46</v>
      </c>
      <c r="S3" s="78">
        <v>28.901734104046245</v>
      </c>
      <c r="T3" s="78">
        <v>21.098265895953755</v>
      </c>
      <c r="U3" s="169">
        <v>45443</v>
      </c>
      <c r="V3" s="74">
        <v>2</v>
      </c>
      <c r="W3" s="50" t="s">
        <v>351</v>
      </c>
      <c r="X3" s="119">
        <v>45504</v>
      </c>
      <c r="Y3" s="180">
        <v>31.3</v>
      </c>
      <c r="Z3" s="50"/>
      <c r="AA3" s="68" t="s">
        <v>384</v>
      </c>
      <c r="AB3" s="127">
        <v>45514</v>
      </c>
      <c r="AC3" s="73" t="s">
        <v>353</v>
      </c>
      <c r="AD3" s="72">
        <v>100</v>
      </c>
      <c r="AE3" s="70">
        <v>3.1948881789137378</v>
      </c>
    </row>
    <row r="4" spans="1:32" x14ac:dyDescent="0.25">
      <c r="A4" s="52" t="s">
        <v>124</v>
      </c>
      <c r="B4" s="50" t="s">
        <v>113</v>
      </c>
      <c r="C4" s="50" t="s">
        <v>432</v>
      </c>
      <c r="D4" s="50" t="s">
        <v>429</v>
      </c>
      <c r="E4" s="50">
        <v>3</v>
      </c>
      <c r="F4" s="50" t="s">
        <v>58</v>
      </c>
      <c r="G4" s="69">
        <v>45352</v>
      </c>
      <c r="H4" s="81" t="s">
        <v>115</v>
      </c>
      <c r="I4" s="81" t="s">
        <v>116</v>
      </c>
      <c r="J4" s="50">
        <v>1</v>
      </c>
      <c r="K4" s="50">
        <v>1</v>
      </c>
      <c r="L4" s="50" t="s">
        <v>126</v>
      </c>
      <c r="M4" s="50">
        <v>7</v>
      </c>
      <c r="N4" s="50">
        <v>20</v>
      </c>
      <c r="O4" s="57" t="s">
        <v>63</v>
      </c>
      <c r="P4" s="50" t="s">
        <v>118</v>
      </c>
      <c r="Q4" s="119">
        <v>45356</v>
      </c>
      <c r="R4" s="79">
        <v>4.46</v>
      </c>
      <c r="S4" s="78">
        <v>22.421524663677129</v>
      </c>
      <c r="T4" s="78">
        <v>27.578475336322871</v>
      </c>
      <c r="U4" s="169">
        <v>45443</v>
      </c>
      <c r="V4" s="74">
        <v>3</v>
      </c>
      <c r="W4" s="50" t="s">
        <v>351</v>
      </c>
      <c r="X4" s="119">
        <v>45504</v>
      </c>
      <c r="Y4" s="180">
        <v>14.9</v>
      </c>
      <c r="Z4" s="50"/>
      <c r="AA4" s="68" t="s">
        <v>385</v>
      </c>
      <c r="AB4" s="127">
        <v>45514</v>
      </c>
      <c r="AC4" s="73" t="s">
        <v>353</v>
      </c>
      <c r="AD4" s="72">
        <v>100</v>
      </c>
      <c r="AE4" s="70">
        <v>6.7114093959731544</v>
      </c>
    </row>
    <row r="5" spans="1:32" x14ac:dyDescent="0.25">
      <c r="A5" s="52" t="s">
        <v>128</v>
      </c>
      <c r="B5" s="50" t="s">
        <v>113</v>
      </c>
      <c r="C5" s="50" t="s">
        <v>432</v>
      </c>
      <c r="D5" s="50" t="s">
        <v>428</v>
      </c>
      <c r="E5" s="50">
        <v>1</v>
      </c>
      <c r="F5" s="50" t="s">
        <v>58</v>
      </c>
      <c r="G5" s="69">
        <v>45352</v>
      </c>
      <c r="H5" s="81" t="s">
        <v>130</v>
      </c>
      <c r="I5" s="81" t="s">
        <v>131</v>
      </c>
      <c r="J5" s="50">
        <v>1</v>
      </c>
      <c r="K5" s="50">
        <v>1</v>
      </c>
      <c r="L5" s="50" t="s">
        <v>132</v>
      </c>
      <c r="M5" s="50">
        <v>8</v>
      </c>
      <c r="N5" s="50">
        <v>20</v>
      </c>
      <c r="O5" s="57" t="s">
        <v>63</v>
      </c>
      <c r="P5" s="50" t="s">
        <v>118</v>
      </c>
      <c r="Q5" s="119">
        <v>45356</v>
      </c>
      <c r="R5" s="79">
        <v>11.5</v>
      </c>
      <c r="S5" s="78">
        <v>8.695652173913043</v>
      </c>
      <c r="T5" s="78">
        <v>41.304347826086953</v>
      </c>
      <c r="U5" s="169">
        <v>45443</v>
      </c>
      <c r="V5" s="74">
        <v>4</v>
      </c>
      <c r="W5" s="50" t="s">
        <v>351</v>
      </c>
      <c r="X5" s="119">
        <v>45504</v>
      </c>
      <c r="Y5" s="180">
        <v>12.6</v>
      </c>
      <c r="Z5" s="50"/>
      <c r="AA5" s="68" t="s">
        <v>386</v>
      </c>
      <c r="AB5" s="127">
        <v>45514</v>
      </c>
      <c r="AC5" s="73" t="s">
        <v>353</v>
      </c>
      <c r="AD5" s="72">
        <v>100</v>
      </c>
      <c r="AE5" s="70">
        <v>7.9365079365079367</v>
      </c>
    </row>
    <row r="6" spans="1:32" x14ac:dyDescent="0.25">
      <c r="A6" s="52" t="s">
        <v>135</v>
      </c>
      <c r="B6" s="50" t="s">
        <v>113</v>
      </c>
      <c r="C6" s="50" t="s">
        <v>432</v>
      </c>
      <c r="D6" s="50" t="s">
        <v>428</v>
      </c>
      <c r="E6" s="50">
        <v>2</v>
      </c>
      <c r="F6" s="50" t="s">
        <v>58</v>
      </c>
      <c r="G6" s="69">
        <v>45352</v>
      </c>
      <c r="H6" s="81" t="s">
        <v>130</v>
      </c>
      <c r="I6" s="81" t="s">
        <v>131</v>
      </c>
      <c r="J6" s="50">
        <v>1</v>
      </c>
      <c r="K6" s="50">
        <v>1</v>
      </c>
      <c r="L6" s="50" t="s">
        <v>137</v>
      </c>
      <c r="M6" s="50">
        <v>8</v>
      </c>
      <c r="N6" s="50">
        <v>20</v>
      </c>
      <c r="O6" s="57" t="s">
        <v>63</v>
      </c>
      <c r="P6" s="50" t="s">
        <v>118</v>
      </c>
      <c r="Q6" s="119">
        <v>45356</v>
      </c>
      <c r="R6" s="79">
        <v>12.8</v>
      </c>
      <c r="S6" s="78">
        <v>7.8125</v>
      </c>
      <c r="T6" s="78">
        <v>42.1875</v>
      </c>
      <c r="U6" s="169">
        <v>45443</v>
      </c>
      <c r="V6" s="74">
        <v>5</v>
      </c>
      <c r="W6" s="50" t="s">
        <v>351</v>
      </c>
      <c r="X6" s="119">
        <v>45504</v>
      </c>
      <c r="Y6" s="180">
        <v>22.8</v>
      </c>
      <c r="Z6" s="50"/>
      <c r="AA6" s="68" t="s">
        <v>387</v>
      </c>
      <c r="AB6" s="127">
        <v>45514</v>
      </c>
      <c r="AC6" s="73" t="s">
        <v>353</v>
      </c>
      <c r="AD6" s="72">
        <v>100</v>
      </c>
      <c r="AE6" s="70">
        <v>4.3859649122807012</v>
      </c>
    </row>
    <row r="7" spans="1:32" x14ac:dyDescent="0.25">
      <c r="A7" s="52" t="s">
        <v>140</v>
      </c>
      <c r="B7" s="50" t="s">
        <v>113</v>
      </c>
      <c r="C7" s="52" t="s">
        <v>432</v>
      </c>
      <c r="D7" s="50" t="s">
        <v>428</v>
      </c>
      <c r="E7" s="52">
        <v>3</v>
      </c>
      <c r="F7" s="50" t="s">
        <v>58</v>
      </c>
      <c r="G7" s="69">
        <v>45352</v>
      </c>
      <c r="H7" s="81" t="s">
        <v>130</v>
      </c>
      <c r="I7" s="81" t="s">
        <v>131</v>
      </c>
      <c r="J7" s="50">
        <v>1</v>
      </c>
      <c r="K7" s="50">
        <v>1</v>
      </c>
      <c r="L7" s="50" t="s">
        <v>142</v>
      </c>
      <c r="M7" s="50">
        <v>8</v>
      </c>
      <c r="N7" s="50">
        <v>20</v>
      </c>
      <c r="O7" s="57" t="s">
        <v>63</v>
      </c>
      <c r="P7" s="50" t="s">
        <v>118</v>
      </c>
      <c r="Q7" s="119">
        <v>45356</v>
      </c>
      <c r="R7" s="72">
        <v>8.02</v>
      </c>
      <c r="S7" s="70">
        <v>12.468827930174564</v>
      </c>
      <c r="T7" s="70">
        <v>37.531172069825438</v>
      </c>
      <c r="U7" s="169">
        <v>45645</v>
      </c>
      <c r="V7" s="74">
        <v>11</v>
      </c>
      <c r="W7" s="91" t="s">
        <v>351</v>
      </c>
      <c r="X7" s="152">
        <v>45633</v>
      </c>
      <c r="Y7" s="168">
        <v>7.94</v>
      </c>
      <c r="AA7" s="50" t="s">
        <v>406</v>
      </c>
      <c r="AB7" s="130">
        <v>45664</v>
      </c>
      <c r="AC7" s="92" t="s">
        <v>397</v>
      </c>
      <c r="AD7" s="90">
        <v>190</v>
      </c>
      <c r="AE7" s="89">
        <v>23.929471032745592</v>
      </c>
    </row>
    <row r="8" spans="1:32" x14ac:dyDescent="0.25">
      <c r="A8" s="52" t="s">
        <v>145</v>
      </c>
      <c r="B8" s="50" t="s">
        <v>113</v>
      </c>
      <c r="C8" s="50" t="s">
        <v>432</v>
      </c>
      <c r="D8" s="50" t="s">
        <v>427</v>
      </c>
      <c r="E8" s="50">
        <v>1</v>
      </c>
      <c r="F8" s="50" t="s">
        <v>58</v>
      </c>
      <c r="G8" s="69">
        <v>45350</v>
      </c>
      <c r="H8" s="81" t="s">
        <v>147</v>
      </c>
      <c r="I8" s="81" t="s">
        <v>148</v>
      </c>
      <c r="J8" s="50">
        <v>5</v>
      </c>
      <c r="K8" s="50">
        <v>7</v>
      </c>
      <c r="L8" s="50" t="s">
        <v>149</v>
      </c>
      <c r="M8" s="50">
        <v>17</v>
      </c>
      <c r="N8" s="50">
        <v>20</v>
      </c>
      <c r="O8" s="57" t="s">
        <v>99</v>
      </c>
      <c r="P8" s="50" t="s">
        <v>64</v>
      </c>
      <c r="Q8" s="119">
        <v>45355</v>
      </c>
      <c r="R8" s="79">
        <v>3.5</v>
      </c>
      <c r="S8" s="78">
        <v>11.428571428571429</v>
      </c>
      <c r="T8" s="78">
        <v>8.5714285714285712</v>
      </c>
      <c r="U8" s="169">
        <v>45443</v>
      </c>
      <c r="V8" s="74">
        <v>7</v>
      </c>
      <c r="W8" s="50" t="s">
        <v>351</v>
      </c>
      <c r="X8" s="119">
        <v>45504</v>
      </c>
      <c r="Y8" s="180">
        <v>93.4</v>
      </c>
      <c r="Z8" s="50"/>
      <c r="AA8" s="68" t="s">
        <v>388</v>
      </c>
      <c r="AB8" s="127">
        <v>45514</v>
      </c>
      <c r="AC8" s="73" t="s">
        <v>353</v>
      </c>
      <c r="AD8" s="72">
        <v>100</v>
      </c>
      <c r="AE8" s="70">
        <v>1.070663811563169</v>
      </c>
    </row>
    <row r="9" spans="1:32" x14ac:dyDescent="0.25">
      <c r="A9" s="52" t="s">
        <v>150</v>
      </c>
      <c r="B9" s="50" t="s">
        <v>113</v>
      </c>
      <c r="C9" s="52" t="s">
        <v>432</v>
      </c>
      <c r="D9" s="50" t="s">
        <v>427</v>
      </c>
      <c r="E9" s="52">
        <v>2</v>
      </c>
      <c r="F9" s="52" t="s">
        <v>94</v>
      </c>
      <c r="G9" s="69">
        <v>45350</v>
      </c>
      <c r="H9" s="81" t="s">
        <v>147</v>
      </c>
      <c r="I9" s="81" t="s">
        <v>148</v>
      </c>
      <c r="J9" s="50">
        <v>5</v>
      </c>
      <c r="K9" s="50">
        <v>7</v>
      </c>
      <c r="L9" s="50" t="s">
        <v>152</v>
      </c>
      <c r="M9" s="50">
        <v>17</v>
      </c>
      <c r="N9" s="50">
        <v>20</v>
      </c>
      <c r="O9" s="57" t="s">
        <v>99</v>
      </c>
      <c r="P9" s="50" t="s">
        <v>64</v>
      </c>
      <c r="Q9" s="119">
        <v>45355</v>
      </c>
      <c r="R9" s="72">
        <v>5.14</v>
      </c>
      <c r="S9" s="70">
        <v>19.45525291828794</v>
      </c>
      <c r="T9" s="70">
        <v>30.54474708171206</v>
      </c>
      <c r="U9" s="169">
        <v>45645</v>
      </c>
      <c r="V9" s="74">
        <v>10</v>
      </c>
      <c r="W9" s="91" t="s">
        <v>351</v>
      </c>
      <c r="X9" s="152">
        <v>45633</v>
      </c>
      <c r="Y9" s="168">
        <v>4.04</v>
      </c>
      <c r="AA9" s="50" t="s">
        <v>405</v>
      </c>
      <c r="AB9" s="130">
        <v>45664</v>
      </c>
      <c r="AC9" s="92" t="s">
        <v>397</v>
      </c>
      <c r="AD9" s="90">
        <v>100</v>
      </c>
      <c r="AE9" s="89">
        <v>24.752475247524753</v>
      </c>
    </row>
    <row r="10" spans="1:32" x14ac:dyDescent="0.25">
      <c r="A10" s="52" t="s">
        <v>154</v>
      </c>
      <c r="B10" s="50" t="s">
        <v>113</v>
      </c>
      <c r="C10" s="50" t="s">
        <v>432</v>
      </c>
      <c r="D10" s="50" t="s">
        <v>427</v>
      </c>
      <c r="E10" s="50">
        <v>3</v>
      </c>
      <c r="F10" s="50" t="s">
        <v>94</v>
      </c>
      <c r="G10" s="69">
        <v>45350</v>
      </c>
      <c r="H10" s="81" t="s">
        <v>147</v>
      </c>
      <c r="I10" s="81" t="s">
        <v>148</v>
      </c>
      <c r="J10" s="50">
        <v>5</v>
      </c>
      <c r="K10" s="50">
        <v>7</v>
      </c>
      <c r="L10" s="50" t="s">
        <v>156</v>
      </c>
      <c r="M10" s="50">
        <v>17</v>
      </c>
      <c r="N10" s="50">
        <v>20</v>
      </c>
      <c r="O10" s="57" t="s">
        <v>99</v>
      </c>
      <c r="P10" s="50" t="s">
        <v>64</v>
      </c>
      <c r="Q10" s="119">
        <v>45355</v>
      </c>
      <c r="R10" s="79">
        <v>9.74</v>
      </c>
      <c r="S10" s="78">
        <v>10.266940451745379</v>
      </c>
      <c r="T10" s="78">
        <v>39.733059548254623</v>
      </c>
      <c r="U10" s="169">
        <v>45443</v>
      </c>
      <c r="V10" s="74">
        <v>9</v>
      </c>
      <c r="W10" s="50" t="s">
        <v>351</v>
      </c>
      <c r="X10" s="119">
        <v>45504</v>
      </c>
      <c r="Y10" s="180">
        <v>16.8</v>
      </c>
      <c r="Z10" s="50"/>
      <c r="AA10" s="68" t="s">
        <v>389</v>
      </c>
      <c r="AB10" s="127">
        <v>45514</v>
      </c>
      <c r="AC10" s="73" t="s">
        <v>353</v>
      </c>
      <c r="AD10" s="72">
        <v>100</v>
      </c>
      <c r="AE10" s="70">
        <v>5.9523809523809526</v>
      </c>
    </row>
    <row r="11" spans="1:32" s="114" customFormat="1" ht="15.75" customHeight="1" x14ac:dyDescent="0.25">
      <c r="A11" s="105" t="s">
        <v>157</v>
      </c>
      <c r="B11" s="105" t="s">
        <v>113</v>
      </c>
      <c r="C11" s="105" t="s">
        <v>432</v>
      </c>
      <c r="D11" s="105" t="s">
        <v>427</v>
      </c>
      <c r="E11" s="105" t="s">
        <v>159</v>
      </c>
      <c r="F11" s="105" t="s">
        <v>58</v>
      </c>
      <c r="G11" s="133">
        <v>45350</v>
      </c>
      <c r="H11" s="132" t="s">
        <v>147</v>
      </c>
      <c r="I11" s="132" t="s">
        <v>148</v>
      </c>
      <c r="J11" s="105"/>
      <c r="K11" s="105"/>
      <c r="L11" s="105" t="s">
        <v>160</v>
      </c>
      <c r="M11" s="105"/>
      <c r="N11" s="105">
        <v>1.5</v>
      </c>
      <c r="O11" s="103" t="s">
        <v>99</v>
      </c>
      <c r="P11" s="105" t="s">
        <v>64</v>
      </c>
      <c r="Q11" s="135">
        <v>45355</v>
      </c>
      <c r="R11" s="125">
        <v>0.60199999999999998</v>
      </c>
      <c r="S11" s="110">
        <v>5</v>
      </c>
      <c r="T11" s="110">
        <v>15</v>
      </c>
      <c r="U11" s="173">
        <v>45443</v>
      </c>
      <c r="V11" s="194">
        <v>10</v>
      </c>
      <c r="W11" s="107" t="s">
        <v>351</v>
      </c>
      <c r="X11" s="153">
        <v>45448</v>
      </c>
      <c r="Y11" s="184">
        <v>21.2</v>
      </c>
      <c r="Z11" s="107"/>
      <c r="AA11" s="106" t="s">
        <v>390</v>
      </c>
      <c r="AB11" s="153">
        <v>45514</v>
      </c>
      <c r="AC11" s="100" t="s">
        <v>353</v>
      </c>
      <c r="AD11" s="109">
        <v>100</v>
      </c>
      <c r="AE11" s="110">
        <v>4.716981132075472</v>
      </c>
      <c r="AF11" s="116"/>
    </row>
    <row r="12" spans="1:32" ht="15.75" customHeight="1" x14ac:dyDescent="0.25">
      <c r="A12" s="52" t="s">
        <v>212</v>
      </c>
      <c r="B12" s="50" t="s">
        <v>425</v>
      </c>
      <c r="C12" s="95" t="s">
        <v>432</v>
      </c>
      <c r="D12" s="50" t="s">
        <v>429</v>
      </c>
      <c r="E12" s="52">
        <v>1</v>
      </c>
      <c r="F12" s="95" t="s">
        <v>165</v>
      </c>
      <c r="G12" s="104">
        <v>45348</v>
      </c>
      <c r="H12" s="149" t="s">
        <v>214</v>
      </c>
      <c r="I12" s="149" t="s">
        <v>215</v>
      </c>
      <c r="J12" s="95">
        <v>1</v>
      </c>
      <c r="K12" s="95">
        <v>2</v>
      </c>
      <c r="L12" s="95" t="s">
        <v>216</v>
      </c>
      <c r="M12" s="95">
        <v>8</v>
      </c>
      <c r="N12" s="95">
        <v>20</v>
      </c>
      <c r="O12" s="94" t="s">
        <v>99</v>
      </c>
      <c r="P12" s="95" t="s">
        <v>64</v>
      </c>
      <c r="Q12" s="120">
        <v>45351</v>
      </c>
      <c r="R12" s="102">
        <v>23.4</v>
      </c>
      <c r="S12" s="96">
        <v>4.2735042735042734</v>
      </c>
      <c r="T12" s="96">
        <v>45.726495726495727</v>
      </c>
      <c r="U12" s="169">
        <v>45644</v>
      </c>
      <c r="V12" s="195">
        <v>13</v>
      </c>
      <c r="W12" s="91" t="s">
        <v>351</v>
      </c>
      <c r="X12" s="152">
        <v>45633</v>
      </c>
      <c r="Y12" s="168">
        <v>69</v>
      </c>
      <c r="Z12" s="50">
        <v>23.4</v>
      </c>
      <c r="AA12" s="52" t="s">
        <v>421</v>
      </c>
      <c r="AB12" s="130">
        <v>45664</v>
      </c>
      <c r="AC12" s="92" t="s">
        <v>397</v>
      </c>
      <c r="AD12" s="90">
        <v>50</v>
      </c>
      <c r="AE12" s="89">
        <v>2.1367521367521367</v>
      </c>
    </row>
    <row r="13" spans="1:32" ht="15.75" customHeight="1" x14ac:dyDescent="0.25">
      <c r="A13" s="52" t="s">
        <v>218</v>
      </c>
      <c r="B13" s="50" t="s">
        <v>425</v>
      </c>
      <c r="C13" s="50" t="s">
        <v>432</v>
      </c>
      <c r="D13" s="50" t="s">
        <v>429</v>
      </c>
      <c r="E13" s="50">
        <v>2</v>
      </c>
      <c r="F13" s="50" t="s">
        <v>165</v>
      </c>
      <c r="G13" s="69">
        <v>45348</v>
      </c>
      <c r="H13" s="81" t="s">
        <v>214</v>
      </c>
      <c r="I13" s="81" t="s">
        <v>215</v>
      </c>
      <c r="J13" s="50">
        <v>1</v>
      </c>
      <c r="K13" s="50">
        <v>2</v>
      </c>
      <c r="L13" s="50" t="s">
        <v>220</v>
      </c>
      <c r="M13" s="50">
        <v>8</v>
      </c>
      <c r="N13" s="50">
        <v>20</v>
      </c>
      <c r="O13" s="57" t="s">
        <v>99</v>
      </c>
      <c r="P13" s="50" t="s">
        <v>64</v>
      </c>
      <c r="Q13" s="119">
        <v>45351</v>
      </c>
      <c r="R13" s="72">
        <v>20.399999999999999</v>
      </c>
      <c r="S13" s="78">
        <v>4.9019607843137258</v>
      </c>
      <c r="T13" s="78">
        <v>45.098039215686271</v>
      </c>
      <c r="U13" s="169">
        <v>45491</v>
      </c>
      <c r="V13" s="74">
        <v>14</v>
      </c>
      <c r="W13" s="50" t="s">
        <v>351</v>
      </c>
      <c r="X13" s="120">
        <v>45504</v>
      </c>
      <c r="Y13" s="168">
        <v>17.3</v>
      </c>
      <c r="Z13" s="50"/>
      <c r="AA13" s="111" t="s">
        <v>379</v>
      </c>
      <c r="AB13" s="127">
        <v>45514</v>
      </c>
      <c r="AC13" s="73" t="s">
        <v>353</v>
      </c>
      <c r="AD13" s="72">
        <v>100</v>
      </c>
      <c r="AE13" s="70">
        <v>5.7803468208092479</v>
      </c>
    </row>
    <row r="14" spans="1:32" ht="15.75" customHeight="1" x14ac:dyDescent="0.25">
      <c r="A14" s="52" t="s">
        <v>222</v>
      </c>
      <c r="B14" s="50" t="s">
        <v>425</v>
      </c>
      <c r="C14" s="52" t="s">
        <v>432</v>
      </c>
      <c r="D14" s="50" t="s">
        <v>429</v>
      </c>
      <c r="E14" s="52">
        <v>3</v>
      </c>
      <c r="F14" s="95" t="s">
        <v>165</v>
      </c>
      <c r="G14" s="104">
        <v>45348</v>
      </c>
      <c r="H14" s="149" t="s">
        <v>214</v>
      </c>
      <c r="I14" s="149" t="s">
        <v>215</v>
      </c>
      <c r="J14" s="95">
        <v>1</v>
      </c>
      <c r="K14" s="95">
        <v>2</v>
      </c>
      <c r="L14" s="95" t="s">
        <v>224</v>
      </c>
      <c r="M14" s="95">
        <v>8</v>
      </c>
      <c r="N14" s="95">
        <v>20</v>
      </c>
      <c r="O14" s="94" t="s">
        <v>99</v>
      </c>
      <c r="P14" s="95" t="s">
        <v>64</v>
      </c>
      <c r="Q14" s="120">
        <v>45351</v>
      </c>
      <c r="R14" s="102">
        <v>19.7</v>
      </c>
      <c r="S14" s="96">
        <v>5.0761421319796955</v>
      </c>
      <c r="T14" s="96">
        <v>44.923857868020306</v>
      </c>
      <c r="U14" s="169">
        <v>45644</v>
      </c>
      <c r="V14" s="195">
        <v>15</v>
      </c>
      <c r="W14" s="91" t="s">
        <v>351</v>
      </c>
      <c r="X14" s="152">
        <v>45633</v>
      </c>
      <c r="Y14" s="168">
        <v>57.8</v>
      </c>
      <c r="Z14" s="50">
        <v>19.600000000000001</v>
      </c>
      <c r="AA14" s="52" t="s">
        <v>422</v>
      </c>
      <c r="AB14" s="130">
        <v>45664</v>
      </c>
      <c r="AC14" s="92" t="s">
        <v>397</v>
      </c>
      <c r="AD14" s="90">
        <v>200</v>
      </c>
      <c r="AE14" s="89">
        <v>10.204081632653061</v>
      </c>
    </row>
    <row r="15" spans="1:32" ht="15.75" customHeight="1" x14ac:dyDescent="0.25">
      <c r="A15" s="52" t="s">
        <v>226</v>
      </c>
      <c r="B15" s="50" t="s">
        <v>425</v>
      </c>
      <c r="C15" s="95" t="s">
        <v>432</v>
      </c>
      <c r="D15" s="50" t="s">
        <v>428</v>
      </c>
      <c r="E15" s="52">
        <v>1</v>
      </c>
      <c r="F15" s="95" t="s">
        <v>165</v>
      </c>
      <c r="G15" s="104">
        <v>45348</v>
      </c>
      <c r="H15" s="149" t="s">
        <v>228</v>
      </c>
      <c r="I15" s="149" t="s">
        <v>229</v>
      </c>
      <c r="J15" s="95">
        <v>1</v>
      </c>
      <c r="K15" s="95">
        <v>1</v>
      </c>
      <c r="L15" s="95" t="s">
        <v>230</v>
      </c>
      <c r="M15" s="95">
        <v>8</v>
      </c>
      <c r="N15" s="95">
        <v>20</v>
      </c>
      <c r="O15" s="94" t="s">
        <v>99</v>
      </c>
      <c r="P15" s="95" t="s">
        <v>64</v>
      </c>
      <c r="Q15" s="120">
        <v>45351</v>
      </c>
      <c r="R15" s="102">
        <v>13</v>
      </c>
      <c r="S15" s="96">
        <v>7.6923076923076925</v>
      </c>
      <c r="T15" s="96">
        <v>42.307692307692307</v>
      </c>
      <c r="U15" s="169">
        <v>45645</v>
      </c>
      <c r="V15" s="74">
        <v>3</v>
      </c>
      <c r="W15" s="91" t="s">
        <v>351</v>
      </c>
      <c r="X15" s="152">
        <v>45633</v>
      </c>
      <c r="Y15" s="168" t="s">
        <v>400</v>
      </c>
      <c r="Z15" s="50">
        <v>35.4</v>
      </c>
      <c r="AA15" s="52" t="s">
        <v>399</v>
      </c>
      <c r="AB15" s="130">
        <v>45664</v>
      </c>
      <c r="AC15" s="92" t="s">
        <v>397</v>
      </c>
      <c r="AD15" s="90">
        <v>50</v>
      </c>
      <c r="AE15" s="89">
        <v>1.4124293785310735</v>
      </c>
    </row>
    <row r="16" spans="1:32" ht="15.75" customHeight="1" x14ac:dyDescent="0.25">
      <c r="A16" s="52" t="s">
        <v>232</v>
      </c>
      <c r="B16" s="50" t="s">
        <v>425</v>
      </c>
      <c r="C16" s="50" t="s">
        <v>432</v>
      </c>
      <c r="D16" s="50" t="s">
        <v>428</v>
      </c>
      <c r="E16" s="50">
        <v>2</v>
      </c>
      <c r="F16" s="50" t="s">
        <v>165</v>
      </c>
      <c r="G16" s="69">
        <v>45348</v>
      </c>
      <c r="H16" s="81" t="s">
        <v>228</v>
      </c>
      <c r="I16" s="81" t="s">
        <v>229</v>
      </c>
      <c r="J16" s="50">
        <v>1</v>
      </c>
      <c r="K16" s="50">
        <v>1</v>
      </c>
      <c r="L16" s="50" t="s">
        <v>234</v>
      </c>
      <c r="M16" s="50">
        <v>8</v>
      </c>
      <c r="N16" s="50">
        <v>20</v>
      </c>
      <c r="O16" s="57" t="s">
        <v>99</v>
      </c>
      <c r="P16" s="50" t="s">
        <v>64</v>
      </c>
      <c r="Q16" s="119">
        <v>45351</v>
      </c>
      <c r="R16" s="72">
        <v>15.2</v>
      </c>
      <c r="S16" s="78">
        <v>6.5789473684210531</v>
      </c>
      <c r="T16" s="78">
        <v>43.421052631578945</v>
      </c>
      <c r="U16" s="169">
        <v>45491</v>
      </c>
      <c r="V16" s="74">
        <v>17</v>
      </c>
      <c r="W16" s="50" t="s">
        <v>351</v>
      </c>
      <c r="X16" s="120">
        <v>45504</v>
      </c>
      <c r="Y16" s="168">
        <v>5.48</v>
      </c>
      <c r="Z16" s="50"/>
      <c r="AA16" s="111" t="s">
        <v>380</v>
      </c>
      <c r="AB16" s="127">
        <v>45514</v>
      </c>
      <c r="AC16" s="73" t="s">
        <v>353</v>
      </c>
      <c r="AD16" s="72">
        <v>100</v>
      </c>
      <c r="AE16" s="70">
        <v>18.248175182481749</v>
      </c>
    </row>
    <row r="17" spans="1:32" ht="15.75" customHeight="1" x14ac:dyDescent="0.25">
      <c r="A17" s="52" t="s">
        <v>236</v>
      </c>
      <c r="B17" s="50" t="s">
        <v>425</v>
      </c>
      <c r="C17" s="52" t="s">
        <v>432</v>
      </c>
      <c r="D17" s="50" t="s">
        <v>428</v>
      </c>
      <c r="E17" s="52">
        <v>3</v>
      </c>
      <c r="F17" s="95" t="s">
        <v>165</v>
      </c>
      <c r="G17" s="104">
        <v>45348</v>
      </c>
      <c r="H17" s="149" t="s">
        <v>228</v>
      </c>
      <c r="I17" s="149" t="s">
        <v>229</v>
      </c>
      <c r="J17" s="95">
        <v>1</v>
      </c>
      <c r="K17" s="95">
        <v>1</v>
      </c>
      <c r="L17" s="95" t="s">
        <v>238</v>
      </c>
      <c r="M17" s="95">
        <v>8</v>
      </c>
      <c r="N17" s="95">
        <v>20</v>
      </c>
      <c r="O17" s="94" t="s">
        <v>99</v>
      </c>
      <c r="P17" s="95" t="s">
        <v>64</v>
      </c>
      <c r="Q17" s="120">
        <v>45351</v>
      </c>
      <c r="R17" s="102">
        <v>3.04</v>
      </c>
      <c r="S17" s="96">
        <v>32.89473684210526</v>
      </c>
      <c r="T17" s="96">
        <v>17.10526315789474</v>
      </c>
      <c r="U17" s="169">
        <v>45644</v>
      </c>
      <c r="V17" s="195">
        <v>4</v>
      </c>
      <c r="W17" s="91" t="s">
        <v>351</v>
      </c>
      <c r="X17" s="152">
        <v>45633</v>
      </c>
      <c r="Y17" s="182">
        <v>83.2</v>
      </c>
      <c r="AA17" s="179" t="s">
        <v>401</v>
      </c>
      <c r="AB17" s="130">
        <v>45664</v>
      </c>
      <c r="AC17" s="92" t="s">
        <v>397</v>
      </c>
      <c r="AD17" s="90">
        <v>200</v>
      </c>
      <c r="AE17" s="89">
        <v>2.4038461538461537</v>
      </c>
    </row>
    <row r="18" spans="1:32" ht="15.75" customHeight="1" x14ac:dyDescent="0.25">
      <c r="A18" s="52" t="s">
        <v>240</v>
      </c>
      <c r="B18" s="50" t="s">
        <v>425</v>
      </c>
      <c r="C18" s="95" t="s">
        <v>432</v>
      </c>
      <c r="D18" s="50" t="s">
        <v>427</v>
      </c>
      <c r="E18" s="52">
        <v>1</v>
      </c>
      <c r="F18" s="95" t="s">
        <v>165</v>
      </c>
      <c r="G18" s="104">
        <v>45343</v>
      </c>
      <c r="H18" s="149" t="s">
        <v>242</v>
      </c>
      <c r="I18" s="149" t="s">
        <v>243</v>
      </c>
      <c r="J18" s="95">
        <v>4</v>
      </c>
      <c r="K18" s="95">
        <v>6</v>
      </c>
      <c r="L18" s="95" t="s">
        <v>244</v>
      </c>
      <c r="M18" s="95">
        <v>22</v>
      </c>
      <c r="N18" s="95">
        <v>20</v>
      </c>
      <c r="O18" s="94" t="s">
        <v>99</v>
      </c>
      <c r="P18" s="95" t="s">
        <v>64</v>
      </c>
      <c r="Q18" s="120">
        <v>45348</v>
      </c>
      <c r="R18" s="102">
        <v>25.2</v>
      </c>
      <c r="S18" s="96">
        <v>15.873015873015873</v>
      </c>
      <c r="T18" s="96">
        <v>184.12698412698413</v>
      </c>
      <c r="U18" s="169">
        <v>45645</v>
      </c>
      <c r="V18" s="195">
        <v>1</v>
      </c>
      <c r="W18" s="88" t="s">
        <v>351</v>
      </c>
      <c r="X18" s="152">
        <v>45633</v>
      </c>
      <c r="Y18" s="168">
        <v>11.8</v>
      </c>
      <c r="AA18" s="52" t="s">
        <v>396</v>
      </c>
      <c r="AB18" s="130">
        <v>45664</v>
      </c>
      <c r="AC18" s="92" t="s">
        <v>397</v>
      </c>
      <c r="AD18" s="90">
        <v>200</v>
      </c>
      <c r="AE18" s="89">
        <v>16.949152542372879</v>
      </c>
    </row>
    <row r="19" spans="1:32" ht="15.75" customHeight="1" x14ac:dyDescent="0.25">
      <c r="A19" s="52" t="s">
        <v>247</v>
      </c>
      <c r="B19" s="50" t="s">
        <v>425</v>
      </c>
      <c r="C19" s="50" t="s">
        <v>432</v>
      </c>
      <c r="D19" s="50" t="s">
        <v>427</v>
      </c>
      <c r="E19" s="50">
        <v>2</v>
      </c>
      <c r="F19" s="50" t="s">
        <v>94</v>
      </c>
      <c r="G19" s="69">
        <v>45343</v>
      </c>
      <c r="H19" s="98" t="s">
        <v>242</v>
      </c>
      <c r="I19" s="98" t="s">
        <v>243</v>
      </c>
      <c r="J19" s="50">
        <v>5</v>
      </c>
      <c r="K19" s="50">
        <v>6</v>
      </c>
      <c r="L19" s="50" t="s">
        <v>249</v>
      </c>
      <c r="M19" s="50">
        <v>22</v>
      </c>
      <c r="N19" s="50">
        <v>20</v>
      </c>
      <c r="O19" s="57" t="s">
        <v>99</v>
      </c>
      <c r="P19" s="50" t="s">
        <v>64</v>
      </c>
      <c r="Q19" s="119">
        <v>45348</v>
      </c>
      <c r="R19" s="72">
        <v>10.6</v>
      </c>
      <c r="S19" s="78">
        <v>9.433962264150944</v>
      </c>
      <c r="T19" s="78">
        <v>40.566037735849058</v>
      </c>
      <c r="U19" s="169">
        <v>45491</v>
      </c>
      <c r="V19" s="74">
        <v>20</v>
      </c>
      <c r="W19" s="50" t="s">
        <v>351</v>
      </c>
      <c r="X19" s="120">
        <v>45504</v>
      </c>
      <c r="Y19" s="168">
        <v>6.02</v>
      </c>
      <c r="Z19" s="50"/>
      <c r="AA19" s="111" t="s">
        <v>381</v>
      </c>
      <c r="AB19" s="127">
        <v>45514</v>
      </c>
      <c r="AC19" s="73" t="s">
        <v>353</v>
      </c>
      <c r="AD19" s="72">
        <v>100</v>
      </c>
      <c r="AE19" s="70">
        <v>16.611295681063122</v>
      </c>
    </row>
    <row r="20" spans="1:32" s="114" customFormat="1" ht="15.75" customHeight="1" x14ac:dyDescent="0.25">
      <c r="A20" s="87" t="s">
        <v>251</v>
      </c>
      <c r="B20" s="51" t="s">
        <v>425</v>
      </c>
      <c r="C20" s="87" t="s">
        <v>432</v>
      </c>
      <c r="D20" s="51" t="s">
        <v>427</v>
      </c>
      <c r="E20" s="87">
        <v>3</v>
      </c>
      <c r="F20" s="114" t="s">
        <v>165</v>
      </c>
      <c r="G20" s="101">
        <v>45343</v>
      </c>
      <c r="H20" s="150" t="s">
        <v>242</v>
      </c>
      <c r="I20" s="150" t="s">
        <v>243</v>
      </c>
      <c r="J20" s="114">
        <v>5</v>
      </c>
      <c r="K20" s="114">
        <v>6</v>
      </c>
      <c r="L20" s="114" t="s">
        <v>210</v>
      </c>
      <c r="M20" s="114">
        <v>22</v>
      </c>
      <c r="N20" s="114">
        <v>20</v>
      </c>
      <c r="O20" s="136" t="s">
        <v>99</v>
      </c>
      <c r="P20" s="114" t="s">
        <v>64</v>
      </c>
      <c r="Q20" s="137">
        <v>45348</v>
      </c>
      <c r="R20" s="210">
        <v>21</v>
      </c>
      <c r="S20" s="116">
        <v>4.7619047619047619</v>
      </c>
      <c r="T20" s="116">
        <v>45.238095238095241</v>
      </c>
      <c r="U20" s="170">
        <v>45645</v>
      </c>
      <c r="V20" s="202">
        <v>2</v>
      </c>
      <c r="W20" s="112" t="s">
        <v>351</v>
      </c>
      <c r="X20" s="152">
        <v>45633</v>
      </c>
      <c r="Y20" s="183">
        <v>8.6999999999999993</v>
      </c>
      <c r="AA20" s="51" t="s">
        <v>398</v>
      </c>
      <c r="AB20" s="138">
        <v>45664</v>
      </c>
      <c r="AC20" s="204" t="s">
        <v>397</v>
      </c>
      <c r="AD20" s="124">
        <v>200</v>
      </c>
      <c r="AE20" s="113">
        <v>22.988505747126439</v>
      </c>
      <c r="AF20" s="116"/>
    </row>
    <row r="21" spans="1:32" ht="15.75" customHeight="1" x14ac:dyDescent="0.25">
      <c r="A21" s="52" t="s">
        <v>298</v>
      </c>
      <c r="B21" s="50" t="s">
        <v>300</v>
      </c>
      <c r="C21" s="50" t="s">
        <v>432</v>
      </c>
      <c r="D21" s="50" t="s">
        <v>429</v>
      </c>
      <c r="E21" s="50">
        <v>1</v>
      </c>
      <c r="F21" s="50" t="s">
        <v>165</v>
      </c>
      <c r="G21" s="69">
        <v>45350</v>
      </c>
      <c r="H21" s="81" t="s">
        <v>301</v>
      </c>
      <c r="I21" s="81" t="s">
        <v>302</v>
      </c>
      <c r="J21" s="50">
        <v>1</v>
      </c>
      <c r="K21" s="50">
        <v>1</v>
      </c>
      <c r="L21" s="50" t="s">
        <v>117</v>
      </c>
      <c r="M21" s="50">
        <v>7</v>
      </c>
      <c r="N21" s="50">
        <v>20</v>
      </c>
      <c r="O21" s="57" t="s">
        <v>63</v>
      </c>
      <c r="P21" s="50" t="s">
        <v>64</v>
      </c>
      <c r="Q21" s="119">
        <v>45357</v>
      </c>
      <c r="R21" s="72">
        <v>17.8</v>
      </c>
      <c r="S21" s="78">
        <v>5.6179775280898872</v>
      </c>
      <c r="T21" s="78">
        <v>44.382022471910112</v>
      </c>
      <c r="U21" s="169">
        <v>45491</v>
      </c>
      <c r="V21" s="71">
        <v>13</v>
      </c>
      <c r="W21" s="50" t="s">
        <v>351</v>
      </c>
      <c r="X21" s="119">
        <v>45492</v>
      </c>
      <c r="Y21" s="180">
        <v>13.3</v>
      </c>
      <c r="Z21" s="50"/>
      <c r="AA21" s="68" t="s">
        <v>359</v>
      </c>
      <c r="AB21" s="119">
        <v>45509</v>
      </c>
      <c r="AC21" s="76" t="s">
        <v>354</v>
      </c>
      <c r="AD21" s="72">
        <v>100</v>
      </c>
      <c r="AE21" s="70">
        <v>7.518796992481203</v>
      </c>
    </row>
    <row r="22" spans="1:32" ht="15" customHeight="1" x14ac:dyDescent="0.25">
      <c r="A22" s="52" t="s">
        <v>304</v>
      </c>
      <c r="B22" s="50" t="s">
        <v>300</v>
      </c>
      <c r="C22" s="50" t="s">
        <v>432</v>
      </c>
      <c r="D22" s="50" t="s">
        <v>429</v>
      </c>
      <c r="E22" s="50">
        <v>2</v>
      </c>
      <c r="F22" s="50" t="s">
        <v>165</v>
      </c>
      <c r="G22" s="69">
        <v>45350</v>
      </c>
      <c r="H22" s="81" t="s">
        <v>301</v>
      </c>
      <c r="I22" s="81" t="s">
        <v>302</v>
      </c>
      <c r="J22" s="50">
        <v>1</v>
      </c>
      <c r="K22" s="50">
        <v>1</v>
      </c>
      <c r="L22" s="50" t="s">
        <v>122</v>
      </c>
      <c r="M22" s="50">
        <v>7</v>
      </c>
      <c r="N22" s="50">
        <v>20</v>
      </c>
      <c r="O22" s="57" t="s">
        <v>63</v>
      </c>
      <c r="P22" s="50" t="s">
        <v>64</v>
      </c>
      <c r="Q22" s="119">
        <v>45357</v>
      </c>
      <c r="R22" s="72">
        <v>14.7</v>
      </c>
      <c r="S22" s="78">
        <v>6.8027210884353746</v>
      </c>
      <c r="T22" s="78">
        <v>43.197278911564624</v>
      </c>
      <c r="U22" s="169">
        <v>45491</v>
      </c>
      <c r="V22" s="71">
        <v>14</v>
      </c>
      <c r="W22" s="50" t="s">
        <v>351</v>
      </c>
      <c r="X22" s="119">
        <v>45492</v>
      </c>
      <c r="Y22" s="180">
        <v>42</v>
      </c>
      <c r="Z22" s="50"/>
      <c r="AA22" s="68" t="s">
        <v>360</v>
      </c>
      <c r="AB22" s="119">
        <v>45509</v>
      </c>
      <c r="AC22" s="76" t="s">
        <v>354</v>
      </c>
      <c r="AD22" s="72">
        <v>100</v>
      </c>
      <c r="AE22" s="70">
        <v>2.3809523809523809</v>
      </c>
    </row>
    <row r="23" spans="1:32" ht="15.75" customHeight="1" x14ac:dyDescent="0.25">
      <c r="A23" s="52" t="s">
        <v>307</v>
      </c>
      <c r="B23" s="50" t="s">
        <v>300</v>
      </c>
      <c r="C23" s="50" t="s">
        <v>432</v>
      </c>
      <c r="D23" s="50" t="s">
        <v>429</v>
      </c>
      <c r="E23" s="50">
        <v>3</v>
      </c>
      <c r="F23" s="50" t="s">
        <v>165</v>
      </c>
      <c r="G23" s="69">
        <v>45350</v>
      </c>
      <c r="H23" s="81" t="s">
        <v>301</v>
      </c>
      <c r="I23" s="81" t="s">
        <v>302</v>
      </c>
      <c r="J23" s="50">
        <v>1</v>
      </c>
      <c r="K23" s="50">
        <v>1</v>
      </c>
      <c r="L23" s="50" t="s">
        <v>309</v>
      </c>
      <c r="M23" s="50">
        <v>7</v>
      </c>
      <c r="N23" s="50">
        <v>20</v>
      </c>
      <c r="O23" s="57" t="s">
        <v>63</v>
      </c>
      <c r="P23" s="50" t="s">
        <v>64</v>
      </c>
      <c r="Q23" s="119">
        <v>45357</v>
      </c>
      <c r="R23" s="72">
        <v>11.5</v>
      </c>
      <c r="S23" s="78">
        <v>8.695652173913043</v>
      </c>
      <c r="T23" s="78">
        <v>41.304347826086953</v>
      </c>
      <c r="U23" s="169">
        <v>45504</v>
      </c>
      <c r="V23" s="71">
        <v>15</v>
      </c>
      <c r="W23" s="50" t="s">
        <v>351</v>
      </c>
      <c r="X23" s="119">
        <v>45492</v>
      </c>
      <c r="Y23" s="180">
        <v>35.6</v>
      </c>
      <c r="Z23" s="50"/>
      <c r="AA23" s="68" t="s">
        <v>361</v>
      </c>
      <c r="AB23" s="119">
        <v>45509</v>
      </c>
      <c r="AC23" s="76" t="s">
        <v>354</v>
      </c>
      <c r="AD23" s="72">
        <v>100</v>
      </c>
      <c r="AE23" s="70">
        <v>2.8089887640449436</v>
      </c>
    </row>
    <row r="24" spans="1:32" ht="15.75" customHeight="1" x14ac:dyDescent="0.25">
      <c r="A24" s="52" t="s">
        <v>310</v>
      </c>
      <c r="B24" s="50" t="s">
        <v>300</v>
      </c>
      <c r="C24" s="52" t="s">
        <v>432</v>
      </c>
      <c r="D24" s="50" t="s">
        <v>428</v>
      </c>
      <c r="E24" s="52">
        <v>1</v>
      </c>
      <c r="F24" s="95" t="s">
        <v>165</v>
      </c>
      <c r="G24" s="104">
        <v>45350</v>
      </c>
      <c r="H24" s="149" t="s">
        <v>312</v>
      </c>
      <c r="I24" s="149" t="s">
        <v>313</v>
      </c>
      <c r="J24" s="95">
        <v>1</v>
      </c>
      <c r="K24" s="95">
        <v>1</v>
      </c>
      <c r="L24" s="95" t="s">
        <v>314</v>
      </c>
      <c r="M24" s="95">
        <v>7</v>
      </c>
      <c r="N24" s="95">
        <v>20</v>
      </c>
      <c r="O24" s="94" t="s">
        <v>63</v>
      </c>
      <c r="P24" s="95" t="s">
        <v>64</v>
      </c>
      <c r="Q24" s="120">
        <v>45357</v>
      </c>
      <c r="R24" s="102">
        <v>21</v>
      </c>
      <c r="S24" s="96">
        <v>4.7619047619047619</v>
      </c>
      <c r="T24" s="96">
        <v>45.238095238095241</v>
      </c>
      <c r="U24" s="169">
        <v>45645</v>
      </c>
      <c r="V24" s="196">
        <v>5</v>
      </c>
      <c r="W24" s="91" t="s">
        <v>351</v>
      </c>
      <c r="X24" s="152">
        <v>45666</v>
      </c>
      <c r="Y24" s="168">
        <v>9.2200000000000006</v>
      </c>
      <c r="AA24" s="50" t="s">
        <v>413</v>
      </c>
      <c r="AB24" s="130">
        <v>45667</v>
      </c>
      <c r="AC24" s="126" t="s">
        <v>409</v>
      </c>
      <c r="AD24" s="80">
        <v>200</v>
      </c>
      <c r="AE24" s="89">
        <v>21.691973969631235</v>
      </c>
    </row>
    <row r="25" spans="1:32" ht="15.75" customHeight="1" x14ac:dyDescent="0.25">
      <c r="A25" s="52" t="s">
        <v>315</v>
      </c>
      <c r="B25" s="50" t="s">
        <v>300</v>
      </c>
      <c r="C25" s="50" t="s">
        <v>432</v>
      </c>
      <c r="D25" s="50" t="s">
        <v>428</v>
      </c>
      <c r="E25" s="50">
        <v>2</v>
      </c>
      <c r="F25" s="50" t="s">
        <v>165</v>
      </c>
      <c r="G25" s="69">
        <v>45350</v>
      </c>
      <c r="H25" s="81" t="s">
        <v>312</v>
      </c>
      <c r="I25" s="81" t="s">
        <v>313</v>
      </c>
      <c r="J25" s="50">
        <v>1</v>
      </c>
      <c r="K25" s="50">
        <v>1</v>
      </c>
      <c r="L25" s="50" t="s">
        <v>132</v>
      </c>
      <c r="M25" s="50">
        <v>7</v>
      </c>
      <c r="N25" s="50">
        <v>20</v>
      </c>
      <c r="O25" s="57" t="s">
        <v>63</v>
      </c>
      <c r="P25" s="50" t="s">
        <v>64</v>
      </c>
      <c r="Q25" s="119">
        <v>45357</v>
      </c>
      <c r="R25" s="79">
        <v>7.08</v>
      </c>
      <c r="S25" s="78">
        <v>14.124293785310734</v>
      </c>
      <c r="T25" s="78">
        <v>35.875706214689266</v>
      </c>
      <c r="U25" s="169">
        <v>45491</v>
      </c>
      <c r="V25" s="71">
        <v>17</v>
      </c>
      <c r="W25" s="50" t="s">
        <v>351</v>
      </c>
      <c r="X25" s="119">
        <v>45492</v>
      </c>
      <c r="Y25" s="180">
        <v>7.8</v>
      </c>
      <c r="Z25" s="50"/>
      <c r="AA25" s="68" t="s">
        <v>362</v>
      </c>
      <c r="AB25" s="119">
        <v>45509</v>
      </c>
      <c r="AC25" s="76" t="s">
        <v>354</v>
      </c>
      <c r="AD25" s="72">
        <v>100</v>
      </c>
      <c r="AE25" s="70">
        <v>12.820512820512821</v>
      </c>
    </row>
    <row r="26" spans="1:32" ht="15.75" customHeight="1" x14ac:dyDescent="0.25">
      <c r="A26" s="52" t="s">
        <v>317</v>
      </c>
      <c r="B26" s="50" t="s">
        <v>300</v>
      </c>
      <c r="C26" s="52" t="s">
        <v>432</v>
      </c>
      <c r="D26" s="50" t="s">
        <v>428</v>
      </c>
      <c r="E26" s="52">
        <v>3</v>
      </c>
      <c r="F26" s="95" t="s">
        <v>165</v>
      </c>
      <c r="G26" s="104">
        <v>45350</v>
      </c>
      <c r="H26" s="149" t="s">
        <v>312</v>
      </c>
      <c r="I26" s="149" t="s">
        <v>313</v>
      </c>
      <c r="J26" s="95">
        <v>1</v>
      </c>
      <c r="K26" s="95">
        <v>1</v>
      </c>
      <c r="L26" s="95" t="s">
        <v>319</v>
      </c>
      <c r="M26" s="95">
        <v>7</v>
      </c>
      <c r="N26" s="95">
        <v>20</v>
      </c>
      <c r="O26" s="94" t="s">
        <v>63</v>
      </c>
      <c r="P26" s="95" t="s">
        <v>64</v>
      </c>
      <c r="Q26" s="120">
        <v>45357</v>
      </c>
      <c r="R26" s="102">
        <v>13</v>
      </c>
      <c r="S26" s="96">
        <v>7.6923076923076925</v>
      </c>
      <c r="T26" s="96">
        <v>42.307692307692307</v>
      </c>
      <c r="U26" s="169">
        <v>45645</v>
      </c>
      <c r="V26" s="196">
        <v>6</v>
      </c>
      <c r="W26" s="91" t="s">
        <v>351</v>
      </c>
      <c r="X26" s="152">
        <v>45666</v>
      </c>
      <c r="Y26" s="168">
        <v>7.84</v>
      </c>
      <c r="AA26" s="50" t="s">
        <v>414</v>
      </c>
      <c r="AB26" s="130">
        <v>45667</v>
      </c>
      <c r="AC26" s="126" t="s">
        <v>409</v>
      </c>
      <c r="AD26" s="80">
        <v>200</v>
      </c>
      <c r="AE26" s="89">
        <v>25.510204081632654</v>
      </c>
    </row>
    <row r="27" spans="1:32" ht="15.75" customHeight="1" x14ac:dyDescent="0.25">
      <c r="A27" s="52" t="s">
        <v>320</v>
      </c>
      <c r="B27" s="50" t="s">
        <v>300</v>
      </c>
      <c r="C27" s="50" t="s">
        <v>432</v>
      </c>
      <c r="D27" s="50" t="s">
        <v>427</v>
      </c>
      <c r="E27" s="50">
        <v>1</v>
      </c>
      <c r="F27" s="50" t="s">
        <v>165</v>
      </c>
      <c r="G27" s="69">
        <v>45344</v>
      </c>
      <c r="H27" s="81" t="s">
        <v>322</v>
      </c>
      <c r="I27" s="81" t="s">
        <v>323</v>
      </c>
      <c r="J27" s="50">
        <v>5</v>
      </c>
      <c r="K27" s="50">
        <v>7</v>
      </c>
      <c r="L27" s="50" t="s">
        <v>324</v>
      </c>
      <c r="M27" s="50">
        <v>22</v>
      </c>
      <c r="N27" s="50">
        <v>20</v>
      </c>
      <c r="O27" s="57" t="s">
        <v>99</v>
      </c>
      <c r="P27" s="50" t="s">
        <v>64</v>
      </c>
      <c r="Q27" s="119">
        <v>45348</v>
      </c>
      <c r="R27" s="79">
        <v>6.1</v>
      </c>
      <c r="S27" s="78">
        <v>16.393442622950822</v>
      </c>
      <c r="T27" s="78">
        <v>33.606557377049178</v>
      </c>
      <c r="U27" s="169">
        <v>45491</v>
      </c>
      <c r="V27" s="71">
        <v>19</v>
      </c>
      <c r="W27" s="50" t="s">
        <v>351</v>
      </c>
      <c r="X27" s="119">
        <v>45492</v>
      </c>
      <c r="Y27" s="180">
        <v>12.1</v>
      </c>
      <c r="Z27" s="50"/>
      <c r="AA27" s="50" t="s">
        <v>424</v>
      </c>
      <c r="AB27" s="119">
        <v>45509</v>
      </c>
      <c r="AC27" s="67" t="s">
        <v>354</v>
      </c>
      <c r="AD27" s="72">
        <v>100</v>
      </c>
      <c r="AE27" s="70">
        <v>8.2644628099173563</v>
      </c>
    </row>
    <row r="28" spans="1:32" ht="15.75" customHeight="1" x14ac:dyDescent="0.25">
      <c r="A28" s="52" t="s">
        <v>325</v>
      </c>
      <c r="B28" s="50" t="s">
        <v>300</v>
      </c>
      <c r="C28" s="50" t="s">
        <v>432</v>
      </c>
      <c r="D28" s="50" t="s">
        <v>427</v>
      </c>
      <c r="E28" s="50">
        <v>2</v>
      </c>
      <c r="F28" s="50" t="s">
        <v>94</v>
      </c>
      <c r="G28" s="69">
        <v>45344</v>
      </c>
      <c r="H28" s="81" t="s">
        <v>322</v>
      </c>
      <c r="I28" s="81" t="s">
        <v>323</v>
      </c>
      <c r="J28" s="50">
        <v>5</v>
      </c>
      <c r="K28" s="50">
        <v>7</v>
      </c>
      <c r="L28" s="50" t="s">
        <v>324</v>
      </c>
      <c r="M28" s="50">
        <v>22</v>
      </c>
      <c r="N28" s="50">
        <v>20</v>
      </c>
      <c r="O28" s="57" t="s">
        <v>99</v>
      </c>
      <c r="P28" s="50" t="s">
        <v>64</v>
      </c>
      <c r="Q28" s="119">
        <v>45348</v>
      </c>
      <c r="R28" s="79">
        <v>3.5</v>
      </c>
      <c r="S28" s="78">
        <v>11.428571428571429</v>
      </c>
      <c r="T28" s="78">
        <v>8.5714285714285712</v>
      </c>
      <c r="U28" s="169">
        <v>45504</v>
      </c>
      <c r="V28" s="71">
        <v>10</v>
      </c>
      <c r="W28" s="50" t="s">
        <v>351</v>
      </c>
      <c r="X28" s="169">
        <v>45504</v>
      </c>
      <c r="Y28" s="180">
        <v>4.38</v>
      </c>
      <c r="Z28" s="93"/>
      <c r="AA28" s="93" t="s">
        <v>378</v>
      </c>
      <c r="AB28" s="119">
        <v>45509</v>
      </c>
      <c r="AC28" s="76" t="s">
        <v>354</v>
      </c>
      <c r="AD28" s="72">
        <v>100</v>
      </c>
      <c r="AE28" s="70">
        <v>22.831050228310502</v>
      </c>
    </row>
    <row r="29" spans="1:32" ht="15.75" customHeight="1" x14ac:dyDescent="0.25">
      <c r="A29" s="52" t="s">
        <v>327</v>
      </c>
      <c r="B29" s="50" t="s">
        <v>300</v>
      </c>
      <c r="C29" s="50" t="s">
        <v>432</v>
      </c>
      <c r="D29" s="50" t="s">
        <v>427</v>
      </c>
      <c r="E29" s="52">
        <v>3</v>
      </c>
      <c r="F29" s="95" t="s">
        <v>94</v>
      </c>
      <c r="G29" s="104">
        <v>45344</v>
      </c>
      <c r="H29" s="149" t="s">
        <v>322</v>
      </c>
      <c r="I29" s="149" t="s">
        <v>323</v>
      </c>
      <c r="J29" s="95">
        <v>5</v>
      </c>
      <c r="K29" s="95">
        <v>7</v>
      </c>
      <c r="L29" s="95" t="s">
        <v>329</v>
      </c>
      <c r="M29" s="95">
        <v>8</v>
      </c>
      <c r="O29" s="94" t="s">
        <v>99</v>
      </c>
      <c r="P29" s="95" t="s">
        <v>64</v>
      </c>
      <c r="Q29" s="120">
        <v>45348</v>
      </c>
      <c r="R29" s="102">
        <v>19.600000000000001</v>
      </c>
      <c r="S29" s="96">
        <v>5.1020408163265305</v>
      </c>
      <c r="T29" s="96">
        <v>44.897959183673471</v>
      </c>
      <c r="U29" s="169">
        <v>45645</v>
      </c>
      <c r="V29" s="196">
        <v>4</v>
      </c>
      <c r="W29" s="91" t="s">
        <v>351</v>
      </c>
      <c r="X29" s="185">
        <v>45666</v>
      </c>
      <c r="Y29" s="168">
        <v>6.5</v>
      </c>
      <c r="Z29" s="186"/>
      <c r="AA29" s="93" t="s">
        <v>412</v>
      </c>
      <c r="AB29" s="130">
        <v>45667</v>
      </c>
      <c r="AC29" s="126" t="s">
        <v>409</v>
      </c>
      <c r="AD29" s="80">
        <v>200</v>
      </c>
      <c r="AE29" s="89">
        <v>30.76923076923077</v>
      </c>
    </row>
    <row r="30" spans="1:32" s="114" customFormat="1" ht="15.75" customHeight="1" x14ac:dyDescent="0.25">
      <c r="A30" s="105" t="s">
        <v>331</v>
      </c>
      <c r="B30" s="105" t="s">
        <v>300</v>
      </c>
      <c r="C30" s="105" t="s">
        <v>432</v>
      </c>
      <c r="D30" s="105" t="s">
        <v>427</v>
      </c>
      <c r="E30" s="105" t="s">
        <v>159</v>
      </c>
      <c r="F30" s="105" t="s">
        <v>165</v>
      </c>
      <c r="G30" s="133">
        <v>45344</v>
      </c>
      <c r="H30" s="132" t="s">
        <v>322</v>
      </c>
      <c r="I30" s="132" t="s">
        <v>323</v>
      </c>
      <c r="J30" s="105"/>
      <c r="K30" s="105"/>
      <c r="L30" s="105" t="s">
        <v>333</v>
      </c>
      <c r="M30" s="105"/>
      <c r="N30" s="105">
        <v>1.5</v>
      </c>
      <c r="O30" s="134" t="s">
        <v>99</v>
      </c>
      <c r="P30" s="105" t="s">
        <v>64</v>
      </c>
      <c r="Q30" s="135">
        <v>45348</v>
      </c>
      <c r="R30" s="125">
        <v>1.3</v>
      </c>
      <c r="S30" s="139">
        <v>5</v>
      </c>
      <c r="T30" s="139">
        <v>15</v>
      </c>
      <c r="U30" s="173">
        <v>45491</v>
      </c>
      <c r="V30" s="108">
        <v>22</v>
      </c>
      <c r="W30" s="107" t="s">
        <v>351</v>
      </c>
      <c r="X30" s="173">
        <v>45492</v>
      </c>
      <c r="Y30" s="184">
        <v>18.7</v>
      </c>
      <c r="Z30" s="187"/>
      <c r="AA30" s="188" t="s">
        <v>363</v>
      </c>
      <c r="AB30" s="153">
        <v>45509</v>
      </c>
      <c r="AC30" s="97" t="s">
        <v>354</v>
      </c>
      <c r="AD30" s="109">
        <v>100</v>
      </c>
      <c r="AE30" s="110">
        <v>5.3475935828877006</v>
      </c>
      <c r="AF30" s="116"/>
    </row>
    <row r="31" spans="1:32" ht="15.75" customHeight="1" x14ac:dyDescent="0.25">
      <c r="A31" s="52" t="s">
        <v>53</v>
      </c>
      <c r="B31" s="50" t="s">
        <v>426</v>
      </c>
      <c r="C31" s="50" t="s">
        <v>433</v>
      </c>
      <c r="D31" s="50" t="s">
        <v>429</v>
      </c>
      <c r="E31" s="50">
        <v>1</v>
      </c>
      <c r="F31" s="50" t="s">
        <v>58</v>
      </c>
      <c r="G31" s="69">
        <v>45351</v>
      </c>
      <c r="H31" s="81" t="s">
        <v>60</v>
      </c>
      <c r="I31" s="81" t="s">
        <v>61</v>
      </c>
      <c r="J31" s="50">
        <v>1</v>
      </c>
      <c r="K31" s="50">
        <v>2</v>
      </c>
      <c r="L31" s="50" t="s">
        <v>62</v>
      </c>
      <c r="M31" s="50">
        <v>9</v>
      </c>
      <c r="N31" s="50">
        <v>20</v>
      </c>
      <c r="O31" s="57" t="s">
        <v>63</v>
      </c>
      <c r="P31" s="50" t="s">
        <v>64</v>
      </c>
      <c r="Q31" s="119">
        <v>45356</v>
      </c>
      <c r="R31" s="72">
        <v>3</v>
      </c>
      <c r="S31" s="78">
        <v>33.333333333333336</v>
      </c>
      <c r="T31" s="78">
        <v>16.666666666666664</v>
      </c>
      <c r="U31" s="169">
        <v>45443</v>
      </c>
      <c r="V31" s="71">
        <v>1</v>
      </c>
      <c r="W31" s="50" t="s">
        <v>351</v>
      </c>
      <c r="X31" s="128">
        <v>45448</v>
      </c>
      <c r="Y31" s="180">
        <v>38.4</v>
      </c>
      <c r="Z31" s="93"/>
      <c r="AA31" s="93" t="s">
        <v>391</v>
      </c>
      <c r="AB31" s="119">
        <v>45509</v>
      </c>
      <c r="AC31" s="71" t="s">
        <v>354</v>
      </c>
      <c r="AD31" s="72">
        <v>100</v>
      </c>
      <c r="AE31" s="70">
        <v>2.604166666666667</v>
      </c>
    </row>
    <row r="32" spans="1:32" ht="15.75" customHeight="1" x14ac:dyDescent="0.25">
      <c r="A32" s="52" t="s">
        <v>68</v>
      </c>
      <c r="B32" s="50" t="s">
        <v>426</v>
      </c>
      <c r="C32" s="50" t="s">
        <v>433</v>
      </c>
      <c r="D32" s="50" t="s">
        <v>429</v>
      </c>
      <c r="E32" s="50">
        <v>2</v>
      </c>
      <c r="F32" s="50" t="s">
        <v>58</v>
      </c>
      <c r="G32" s="69">
        <v>45351</v>
      </c>
      <c r="H32" s="81" t="s">
        <v>60</v>
      </c>
      <c r="I32" s="81" t="s">
        <v>61</v>
      </c>
      <c r="J32" s="50">
        <v>1</v>
      </c>
      <c r="K32" s="50">
        <v>2</v>
      </c>
      <c r="L32" s="50" t="s">
        <v>71</v>
      </c>
      <c r="M32" s="50">
        <v>8</v>
      </c>
      <c r="N32" s="50">
        <v>20</v>
      </c>
      <c r="O32" s="57" t="s">
        <v>63</v>
      </c>
      <c r="P32" s="50" t="s">
        <v>64</v>
      </c>
      <c r="Q32" s="119">
        <v>45356</v>
      </c>
      <c r="R32" s="72">
        <v>4.82</v>
      </c>
      <c r="S32" s="78">
        <v>20.746887966804977</v>
      </c>
      <c r="T32" s="78">
        <v>29.253112033195023</v>
      </c>
      <c r="U32" s="169">
        <v>45443</v>
      </c>
      <c r="V32" s="71">
        <v>2</v>
      </c>
      <c r="W32" s="50" t="s">
        <v>351</v>
      </c>
      <c r="X32" s="128">
        <v>45448</v>
      </c>
      <c r="Y32" s="180">
        <v>39</v>
      </c>
      <c r="Z32" s="93"/>
      <c r="AA32" s="93" t="s">
        <v>392</v>
      </c>
      <c r="AB32" s="119">
        <v>45509</v>
      </c>
      <c r="AC32" s="71" t="s">
        <v>354</v>
      </c>
      <c r="AD32" s="72">
        <v>100</v>
      </c>
      <c r="AE32" s="70">
        <v>2.5641025641025643</v>
      </c>
    </row>
    <row r="33" spans="1:32" ht="15.75" customHeight="1" x14ac:dyDescent="0.25">
      <c r="A33" s="52" t="s">
        <v>72</v>
      </c>
      <c r="B33" s="50" t="s">
        <v>426</v>
      </c>
      <c r="C33" s="50" t="s">
        <v>433</v>
      </c>
      <c r="D33" s="50" t="s">
        <v>429</v>
      </c>
      <c r="E33" s="50">
        <v>3</v>
      </c>
      <c r="F33" s="50" t="s">
        <v>58</v>
      </c>
      <c r="G33" s="69">
        <v>45351</v>
      </c>
      <c r="H33" s="81" t="s">
        <v>60</v>
      </c>
      <c r="I33" s="81" t="s">
        <v>61</v>
      </c>
      <c r="J33" s="50">
        <v>1</v>
      </c>
      <c r="K33" s="50">
        <v>2</v>
      </c>
      <c r="L33" s="50" t="s">
        <v>74</v>
      </c>
      <c r="M33" s="50">
        <v>8</v>
      </c>
      <c r="N33" s="50">
        <v>20</v>
      </c>
      <c r="O33" s="57" t="s">
        <v>63</v>
      </c>
      <c r="P33" s="50" t="s">
        <v>64</v>
      </c>
      <c r="Q33" s="119">
        <v>45356</v>
      </c>
      <c r="R33" s="72">
        <v>4.0199999999999996</v>
      </c>
      <c r="S33" s="78">
        <v>24.875621890547265</v>
      </c>
      <c r="T33" s="78">
        <v>25.124378109452735</v>
      </c>
      <c r="U33" s="169">
        <v>45443</v>
      </c>
      <c r="V33" s="71">
        <v>3</v>
      </c>
      <c r="W33" s="50" t="s">
        <v>351</v>
      </c>
      <c r="X33" s="128">
        <v>45448</v>
      </c>
      <c r="Y33" s="180">
        <v>35.200000000000003</v>
      </c>
      <c r="Z33" s="93"/>
      <c r="AA33" s="93" t="s">
        <v>393</v>
      </c>
      <c r="AB33" s="119">
        <v>45509</v>
      </c>
      <c r="AC33" s="71" t="s">
        <v>354</v>
      </c>
      <c r="AD33" s="72">
        <v>100</v>
      </c>
      <c r="AE33" s="70">
        <v>2.8409090909090908</v>
      </c>
    </row>
    <row r="34" spans="1:32" ht="15.75" customHeight="1" x14ac:dyDescent="0.25">
      <c r="A34" s="52" t="s">
        <v>76</v>
      </c>
      <c r="B34" s="50" t="s">
        <v>426</v>
      </c>
      <c r="C34" s="50" t="s">
        <v>433</v>
      </c>
      <c r="D34" s="50" t="s">
        <v>428</v>
      </c>
      <c r="E34" s="50">
        <v>1</v>
      </c>
      <c r="F34" s="50" t="s">
        <v>58</v>
      </c>
      <c r="G34" s="69">
        <v>45351</v>
      </c>
      <c r="H34" s="81" t="s">
        <v>79</v>
      </c>
      <c r="I34" s="81" t="s">
        <v>80</v>
      </c>
      <c r="J34" s="50">
        <v>1</v>
      </c>
      <c r="K34" s="50">
        <v>1</v>
      </c>
      <c r="L34" s="50" t="s">
        <v>81</v>
      </c>
      <c r="M34" s="50">
        <v>8</v>
      </c>
      <c r="N34" s="50">
        <v>20</v>
      </c>
      <c r="O34" s="57" t="s">
        <v>63</v>
      </c>
      <c r="P34" s="50" t="s">
        <v>64</v>
      </c>
      <c r="Q34" s="119">
        <v>45356</v>
      </c>
      <c r="R34" s="72">
        <v>20.2</v>
      </c>
      <c r="S34" s="78">
        <v>4.9504950495049505</v>
      </c>
      <c r="T34" s="78">
        <v>45.049504950495049</v>
      </c>
      <c r="U34" s="169">
        <v>45443</v>
      </c>
      <c r="V34" s="71">
        <v>4</v>
      </c>
      <c r="W34" s="50" t="s">
        <v>351</v>
      </c>
      <c r="X34" s="128">
        <v>45448</v>
      </c>
      <c r="Y34" s="180">
        <v>49.6</v>
      </c>
      <c r="Z34" s="93"/>
      <c r="AA34" s="93" t="s">
        <v>394</v>
      </c>
      <c r="AB34" s="119">
        <v>45509</v>
      </c>
      <c r="AC34" s="71" t="s">
        <v>354</v>
      </c>
      <c r="AD34" s="72">
        <v>100</v>
      </c>
      <c r="AE34" s="70">
        <v>2.0161290322580645</v>
      </c>
    </row>
    <row r="35" spans="1:32" ht="15.75" customHeight="1" x14ac:dyDescent="0.25">
      <c r="A35" s="168" t="s">
        <v>84</v>
      </c>
      <c r="B35" s="50" t="s">
        <v>426</v>
      </c>
      <c r="C35" s="95" t="s">
        <v>433</v>
      </c>
      <c r="D35" s="50" t="s">
        <v>428</v>
      </c>
      <c r="E35" s="52">
        <v>2</v>
      </c>
      <c r="F35" s="95" t="s">
        <v>58</v>
      </c>
      <c r="G35" s="104">
        <v>45351</v>
      </c>
      <c r="H35" s="149" t="s">
        <v>79</v>
      </c>
      <c r="I35" s="149" t="s">
        <v>80</v>
      </c>
      <c r="J35" s="95">
        <v>1</v>
      </c>
      <c r="K35" s="95">
        <v>1</v>
      </c>
      <c r="L35" s="95" t="s">
        <v>86</v>
      </c>
      <c r="M35" s="95">
        <v>8</v>
      </c>
      <c r="N35" s="95">
        <v>20</v>
      </c>
      <c r="O35" s="94" t="s">
        <v>63</v>
      </c>
      <c r="P35" s="95" t="s">
        <v>64</v>
      </c>
      <c r="Q35" s="120">
        <v>45356</v>
      </c>
      <c r="R35" s="102">
        <v>21.6</v>
      </c>
      <c r="S35" s="96">
        <v>4.6296296296296298</v>
      </c>
      <c r="T35" s="96">
        <v>45.370370370370367</v>
      </c>
      <c r="U35" s="169">
        <v>45645</v>
      </c>
      <c r="V35" s="196">
        <v>8</v>
      </c>
      <c r="W35" s="91" t="s">
        <v>351</v>
      </c>
      <c r="X35" s="185">
        <v>45666</v>
      </c>
      <c r="Y35" s="168" t="s">
        <v>400</v>
      </c>
      <c r="Z35" s="93">
        <v>35.200000000000003</v>
      </c>
      <c r="AA35" s="93" t="s">
        <v>416</v>
      </c>
      <c r="AB35" s="130">
        <v>45667</v>
      </c>
      <c r="AC35" s="126" t="s">
        <v>409</v>
      </c>
      <c r="AD35" s="80">
        <v>200</v>
      </c>
      <c r="AE35" s="89">
        <v>5.6818181818181817</v>
      </c>
    </row>
    <row r="36" spans="1:32" ht="15.75" customHeight="1" x14ac:dyDescent="0.25">
      <c r="A36" s="168" t="s">
        <v>88</v>
      </c>
      <c r="B36" s="50" t="s">
        <v>426</v>
      </c>
      <c r="C36" s="50" t="s">
        <v>433</v>
      </c>
      <c r="D36" s="50" t="s">
        <v>428</v>
      </c>
      <c r="E36" s="52">
        <v>3</v>
      </c>
      <c r="F36" s="95" t="s">
        <v>58</v>
      </c>
      <c r="G36" s="104">
        <v>45351</v>
      </c>
      <c r="H36" s="149" t="s">
        <v>79</v>
      </c>
      <c r="I36" s="149" t="s">
        <v>80</v>
      </c>
      <c r="J36" s="95">
        <v>1</v>
      </c>
      <c r="K36" s="95">
        <v>1</v>
      </c>
      <c r="L36" s="95" t="s">
        <v>90</v>
      </c>
      <c r="M36" s="95">
        <v>7</v>
      </c>
      <c r="N36" s="95">
        <v>20</v>
      </c>
      <c r="O36" s="94" t="s">
        <v>63</v>
      </c>
      <c r="P36" s="95" t="s">
        <v>64</v>
      </c>
      <c r="Q36" s="120">
        <v>45356</v>
      </c>
      <c r="R36" s="102">
        <v>14.6</v>
      </c>
      <c r="S36" s="96">
        <v>6.8493150684931505</v>
      </c>
      <c r="T36" s="96">
        <v>43.150684931506852</v>
      </c>
      <c r="U36" s="169">
        <v>45645</v>
      </c>
      <c r="V36" s="196">
        <v>10</v>
      </c>
      <c r="W36" s="91" t="s">
        <v>351</v>
      </c>
      <c r="X36" s="185">
        <v>45666</v>
      </c>
      <c r="Y36" s="168">
        <v>65.400000000000006</v>
      </c>
      <c r="Z36" s="93">
        <v>30</v>
      </c>
      <c r="AA36" s="93" t="s">
        <v>417</v>
      </c>
      <c r="AB36" s="130">
        <v>45667</v>
      </c>
      <c r="AC36" s="126" t="s">
        <v>409</v>
      </c>
      <c r="AD36" s="80">
        <v>200</v>
      </c>
      <c r="AE36" s="89">
        <v>6.666666666666667</v>
      </c>
    </row>
    <row r="37" spans="1:32" ht="15.75" customHeight="1" x14ac:dyDescent="0.25">
      <c r="A37" s="52" t="s">
        <v>91</v>
      </c>
      <c r="B37" s="50" t="s">
        <v>426</v>
      </c>
      <c r="C37" s="95" t="s">
        <v>433</v>
      </c>
      <c r="D37" s="50" t="s">
        <v>427</v>
      </c>
      <c r="E37" s="52">
        <v>1</v>
      </c>
      <c r="F37" s="95" t="s">
        <v>94</v>
      </c>
      <c r="G37" s="104">
        <v>45350</v>
      </c>
      <c r="H37" s="149" t="s">
        <v>96</v>
      </c>
      <c r="I37" s="149" t="s">
        <v>97</v>
      </c>
      <c r="J37" s="95">
        <v>7</v>
      </c>
      <c r="K37" s="95">
        <v>9</v>
      </c>
      <c r="L37" s="95" t="s">
        <v>98</v>
      </c>
      <c r="M37" s="95">
        <v>18</v>
      </c>
      <c r="N37" s="95">
        <v>20</v>
      </c>
      <c r="O37" s="94" t="s">
        <v>99</v>
      </c>
      <c r="P37" s="95" t="s">
        <v>64</v>
      </c>
      <c r="Q37" s="120">
        <v>45355</v>
      </c>
      <c r="R37" s="102">
        <v>3.88</v>
      </c>
      <c r="S37" s="96">
        <v>25.773195876288661</v>
      </c>
      <c r="T37" s="96">
        <v>24.226804123711339</v>
      </c>
      <c r="U37" s="169">
        <v>45645</v>
      </c>
      <c r="V37" s="196">
        <v>7</v>
      </c>
      <c r="W37" s="91" t="s">
        <v>351</v>
      </c>
      <c r="X37" s="185">
        <v>45666</v>
      </c>
      <c r="Y37" s="168">
        <v>9.4</v>
      </c>
      <c r="Z37" s="186"/>
      <c r="AA37" s="93" t="s">
        <v>415</v>
      </c>
      <c r="AB37" s="130">
        <v>45667</v>
      </c>
      <c r="AC37" s="126" t="s">
        <v>409</v>
      </c>
      <c r="AD37" s="80">
        <v>200</v>
      </c>
      <c r="AE37" s="89">
        <v>21.276595744680851</v>
      </c>
    </row>
    <row r="38" spans="1:32" ht="15" customHeight="1" x14ac:dyDescent="0.25">
      <c r="A38" s="52" t="s">
        <v>103</v>
      </c>
      <c r="B38" s="50" t="s">
        <v>426</v>
      </c>
      <c r="C38" s="50" t="s">
        <v>433</v>
      </c>
      <c r="D38" s="50" t="s">
        <v>427</v>
      </c>
      <c r="E38" s="50">
        <v>2</v>
      </c>
      <c r="F38" s="50" t="s">
        <v>94</v>
      </c>
      <c r="G38" s="69">
        <v>45350</v>
      </c>
      <c r="H38" s="81" t="s">
        <v>96</v>
      </c>
      <c r="I38" s="81" t="s">
        <v>97</v>
      </c>
      <c r="J38" s="50">
        <v>7</v>
      </c>
      <c r="K38" s="50">
        <v>9</v>
      </c>
      <c r="L38" s="50" t="s">
        <v>105</v>
      </c>
      <c r="M38" s="50">
        <v>18</v>
      </c>
      <c r="N38" s="50">
        <v>20</v>
      </c>
      <c r="O38" s="57" t="s">
        <v>99</v>
      </c>
      <c r="P38" s="50" t="s">
        <v>64</v>
      </c>
      <c r="Q38" s="119">
        <v>45355</v>
      </c>
      <c r="R38" s="72">
        <v>3.72</v>
      </c>
      <c r="S38" s="78">
        <v>26.881720430107524</v>
      </c>
      <c r="T38" s="78">
        <v>23.118279569892476</v>
      </c>
      <c r="U38" s="169">
        <v>45443</v>
      </c>
      <c r="V38" s="71">
        <v>8</v>
      </c>
      <c r="W38" s="50" t="s">
        <v>351</v>
      </c>
      <c r="X38" s="128">
        <v>45448</v>
      </c>
      <c r="Y38" s="180">
        <v>6.84</v>
      </c>
      <c r="Z38" s="93"/>
      <c r="AA38" s="93" t="s">
        <v>395</v>
      </c>
      <c r="AB38" s="119">
        <v>45509</v>
      </c>
      <c r="AC38" s="71" t="s">
        <v>354</v>
      </c>
      <c r="AD38" s="72">
        <v>100</v>
      </c>
      <c r="AE38" s="70">
        <v>14.619883040935672</v>
      </c>
    </row>
    <row r="39" spans="1:32" s="114" customFormat="1" ht="15.75" customHeight="1" x14ac:dyDescent="0.25">
      <c r="A39" s="51" t="s">
        <v>107</v>
      </c>
      <c r="B39" s="51" t="s">
        <v>426</v>
      </c>
      <c r="C39" s="51" t="s">
        <v>433</v>
      </c>
      <c r="D39" s="51" t="s">
        <v>427</v>
      </c>
      <c r="E39" s="51">
        <v>3</v>
      </c>
      <c r="F39" s="51" t="s">
        <v>94</v>
      </c>
      <c r="G39" s="64">
        <v>45350</v>
      </c>
      <c r="H39" s="140" t="s">
        <v>96</v>
      </c>
      <c r="I39" s="140" t="s">
        <v>97</v>
      </c>
      <c r="J39" s="51">
        <v>7</v>
      </c>
      <c r="K39" s="51">
        <v>9</v>
      </c>
      <c r="L39" s="51" t="s">
        <v>109</v>
      </c>
      <c r="M39" s="51">
        <v>17</v>
      </c>
      <c r="N39" s="51">
        <v>20</v>
      </c>
      <c r="O39" s="103" t="s">
        <v>99</v>
      </c>
      <c r="P39" s="51" t="s">
        <v>64</v>
      </c>
      <c r="Q39" s="66">
        <v>45355</v>
      </c>
      <c r="R39" s="65">
        <v>3.26</v>
      </c>
      <c r="S39" s="99">
        <v>30.674846625766872</v>
      </c>
      <c r="T39" s="99">
        <v>19.325153374233128</v>
      </c>
      <c r="U39" s="170">
        <v>45443</v>
      </c>
      <c r="V39" s="108">
        <v>9</v>
      </c>
      <c r="W39" s="51" t="s">
        <v>351</v>
      </c>
      <c r="X39" s="189">
        <v>45448</v>
      </c>
      <c r="Y39" s="181">
        <v>4.8600000000000003</v>
      </c>
      <c r="Z39" s="190"/>
      <c r="AA39" s="190"/>
      <c r="AB39" s="66">
        <v>45509</v>
      </c>
      <c r="AC39" s="108" t="s">
        <v>354</v>
      </c>
      <c r="AD39" s="65">
        <v>100</v>
      </c>
      <c r="AE39" s="63">
        <v>20.576131687242796</v>
      </c>
      <c r="AF39" s="116"/>
    </row>
    <row r="40" spans="1:32" ht="15.75" customHeight="1" x14ac:dyDescent="0.25">
      <c r="A40" s="52" t="s">
        <v>162</v>
      </c>
      <c r="B40" s="50" t="s">
        <v>164</v>
      </c>
      <c r="C40" s="50" t="s">
        <v>433</v>
      </c>
      <c r="D40" s="50" t="s">
        <v>429</v>
      </c>
      <c r="E40" s="50">
        <v>1</v>
      </c>
      <c r="F40" s="50" t="s">
        <v>165</v>
      </c>
      <c r="G40" s="69">
        <v>45348</v>
      </c>
      <c r="H40" s="81" t="s">
        <v>166</v>
      </c>
      <c r="I40" s="81" t="s">
        <v>167</v>
      </c>
      <c r="J40" s="50">
        <v>1</v>
      </c>
      <c r="K40" s="50">
        <v>1</v>
      </c>
      <c r="L40" s="50" t="s">
        <v>152</v>
      </c>
      <c r="M40" s="50">
        <v>8</v>
      </c>
      <c r="N40" s="50">
        <v>20</v>
      </c>
      <c r="O40" s="57" t="s">
        <v>99</v>
      </c>
      <c r="P40" s="50" t="s">
        <v>64</v>
      </c>
      <c r="Q40" s="119">
        <v>45349</v>
      </c>
      <c r="R40" s="72">
        <v>11</v>
      </c>
      <c r="S40" s="78">
        <v>9.0909090909090917</v>
      </c>
      <c r="T40" s="78">
        <v>40.909090909090907</v>
      </c>
      <c r="U40" s="169">
        <v>45443</v>
      </c>
      <c r="V40" s="197">
        <v>1</v>
      </c>
      <c r="W40" s="50" t="s">
        <v>351</v>
      </c>
      <c r="X40" s="128">
        <v>45447</v>
      </c>
      <c r="Y40" s="180">
        <v>24</v>
      </c>
      <c r="Z40" s="93"/>
      <c r="AA40" s="93" t="s">
        <v>371</v>
      </c>
      <c r="AB40" s="119">
        <v>45511</v>
      </c>
      <c r="AC40" s="77" t="s">
        <v>355</v>
      </c>
      <c r="AD40" s="72">
        <v>100</v>
      </c>
      <c r="AE40" s="70">
        <v>4.166666666666667</v>
      </c>
    </row>
    <row r="41" spans="1:32" ht="15.75" customHeight="1" x14ac:dyDescent="0.25">
      <c r="A41" s="52" t="s">
        <v>170</v>
      </c>
      <c r="B41" s="50" t="s">
        <v>164</v>
      </c>
      <c r="C41" s="50" t="s">
        <v>433</v>
      </c>
      <c r="D41" s="50" t="s">
        <v>429</v>
      </c>
      <c r="E41" s="50">
        <v>2</v>
      </c>
      <c r="F41" s="50" t="s">
        <v>165</v>
      </c>
      <c r="G41" s="69">
        <v>45348</v>
      </c>
      <c r="H41" s="81" t="s">
        <v>166</v>
      </c>
      <c r="I41" s="81" t="s">
        <v>167</v>
      </c>
      <c r="J41" s="50">
        <v>1</v>
      </c>
      <c r="K41" s="50">
        <v>1</v>
      </c>
      <c r="L41" s="50" t="s">
        <v>172</v>
      </c>
      <c r="M41" s="50">
        <v>8</v>
      </c>
      <c r="N41" s="50">
        <v>20</v>
      </c>
      <c r="O41" s="57" t="s">
        <v>99</v>
      </c>
      <c r="P41" s="50" t="s">
        <v>64</v>
      </c>
      <c r="Q41" s="119">
        <v>45349</v>
      </c>
      <c r="R41" s="79">
        <v>21</v>
      </c>
      <c r="S41" s="78">
        <v>4.7619047619047619</v>
      </c>
      <c r="T41" s="78">
        <v>45.238095238095241</v>
      </c>
      <c r="U41" s="169">
        <v>45443</v>
      </c>
      <c r="V41" s="197">
        <v>2</v>
      </c>
      <c r="W41" s="50" t="s">
        <v>351</v>
      </c>
      <c r="X41" s="128">
        <v>45447</v>
      </c>
      <c r="Y41" s="180">
        <v>19.5</v>
      </c>
      <c r="Z41" s="93"/>
      <c r="AA41" s="93" t="s">
        <v>372</v>
      </c>
      <c r="AB41" s="119">
        <v>45511</v>
      </c>
      <c r="AC41" s="77" t="s">
        <v>355</v>
      </c>
      <c r="AD41" s="72">
        <v>100</v>
      </c>
      <c r="AE41" s="70">
        <v>5.1282051282051286</v>
      </c>
    </row>
    <row r="42" spans="1:32" ht="15.75" customHeight="1" x14ac:dyDescent="0.25">
      <c r="A42" s="52" t="s">
        <v>174</v>
      </c>
      <c r="B42" s="50" t="s">
        <v>164</v>
      </c>
      <c r="C42" s="50" t="s">
        <v>433</v>
      </c>
      <c r="D42" s="50" t="s">
        <v>429</v>
      </c>
      <c r="E42" s="50">
        <v>3</v>
      </c>
      <c r="F42" s="50" t="s">
        <v>165</v>
      </c>
      <c r="G42" s="69">
        <v>45348</v>
      </c>
      <c r="H42" s="81" t="s">
        <v>166</v>
      </c>
      <c r="I42" s="81" t="s">
        <v>167</v>
      </c>
      <c r="J42" s="50">
        <v>1</v>
      </c>
      <c r="K42" s="50">
        <v>1</v>
      </c>
      <c r="L42" s="50" t="s">
        <v>176</v>
      </c>
      <c r="M42" s="50">
        <v>8</v>
      </c>
      <c r="N42" s="50">
        <v>20</v>
      </c>
      <c r="O42" s="57" t="s">
        <v>99</v>
      </c>
      <c r="P42" s="50" t="s">
        <v>64</v>
      </c>
      <c r="Q42" s="119">
        <v>45349</v>
      </c>
      <c r="R42" s="79">
        <v>17</v>
      </c>
      <c r="S42" s="78">
        <v>5.882352941176471</v>
      </c>
      <c r="T42" s="78">
        <v>44.117647058823529</v>
      </c>
      <c r="U42" s="169">
        <v>45443</v>
      </c>
      <c r="V42" s="197">
        <v>3</v>
      </c>
      <c r="W42" s="50" t="s">
        <v>351</v>
      </c>
      <c r="X42" s="128">
        <v>45447</v>
      </c>
      <c r="Y42" s="180">
        <v>30.4</v>
      </c>
      <c r="Z42" s="93"/>
      <c r="AA42" s="93" t="s">
        <v>373</v>
      </c>
      <c r="AB42" s="119">
        <v>45511</v>
      </c>
      <c r="AC42" s="77" t="s">
        <v>355</v>
      </c>
      <c r="AD42" s="72">
        <v>100</v>
      </c>
      <c r="AE42" s="70">
        <v>3.2894736842105265</v>
      </c>
    </row>
    <row r="43" spans="1:32" ht="15.75" customHeight="1" x14ac:dyDescent="0.25">
      <c r="A43" s="52" t="s">
        <v>178</v>
      </c>
      <c r="B43" s="50" t="s">
        <v>164</v>
      </c>
      <c r="C43" s="50" t="s">
        <v>433</v>
      </c>
      <c r="D43" s="50" t="s">
        <v>428</v>
      </c>
      <c r="E43" s="50">
        <v>1</v>
      </c>
      <c r="F43" s="50" t="s">
        <v>165</v>
      </c>
      <c r="G43" s="69">
        <v>45348</v>
      </c>
      <c r="H43" s="81" t="s">
        <v>180</v>
      </c>
      <c r="I43" s="81" t="s">
        <v>181</v>
      </c>
      <c r="J43" s="50">
        <v>1</v>
      </c>
      <c r="K43" s="50">
        <v>1</v>
      </c>
      <c r="L43" s="50" t="s">
        <v>182</v>
      </c>
      <c r="M43" s="50">
        <v>8</v>
      </c>
      <c r="N43" s="50">
        <v>20</v>
      </c>
      <c r="O43" s="57" t="s">
        <v>99</v>
      </c>
      <c r="P43" s="50" t="s">
        <v>64</v>
      </c>
      <c r="Q43" s="119">
        <v>45349</v>
      </c>
      <c r="R43" s="79">
        <v>13</v>
      </c>
      <c r="S43" s="78">
        <v>7.6923076923076925</v>
      </c>
      <c r="T43" s="78">
        <v>42.307692307692307</v>
      </c>
      <c r="U43" s="169">
        <v>45443</v>
      </c>
      <c r="V43" s="197">
        <v>4</v>
      </c>
      <c r="W43" s="50" t="s">
        <v>351</v>
      </c>
      <c r="X43" s="128">
        <v>45447</v>
      </c>
      <c r="Y43" s="180">
        <v>9.6999999999999993</v>
      </c>
      <c r="Z43" s="93"/>
      <c r="AA43" s="93" t="s">
        <v>374</v>
      </c>
      <c r="AB43" s="119">
        <v>45511</v>
      </c>
      <c r="AC43" s="77" t="s">
        <v>355</v>
      </c>
      <c r="AD43" s="72">
        <v>100</v>
      </c>
      <c r="AE43" s="70">
        <v>10.309278350515465</v>
      </c>
    </row>
    <row r="44" spans="1:32" ht="15.75" customHeight="1" x14ac:dyDescent="0.25">
      <c r="A44" s="52" t="s">
        <v>184</v>
      </c>
      <c r="B44" s="50" t="s">
        <v>164</v>
      </c>
      <c r="C44" s="50" t="s">
        <v>433</v>
      </c>
      <c r="D44" s="50" t="s">
        <v>428</v>
      </c>
      <c r="E44" s="50">
        <v>2</v>
      </c>
      <c r="F44" s="50" t="s">
        <v>165</v>
      </c>
      <c r="G44" s="69">
        <v>45348</v>
      </c>
      <c r="H44" s="81" t="s">
        <v>180</v>
      </c>
      <c r="I44" s="81" t="s">
        <v>181</v>
      </c>
      <c r="J44" s="50">
        <v>1</v>
      </c>
      <c r="K44" s="50">
        <v>1</v>
      </c>
      <c r="L44" s="50" t="s">
        <v>186</v>
      </c>
      <c r="M44" s="50">
        <v>8</v>
      </c>
      <c r="N44" s="50">
        <v>20</v>
      </c>
      <c r="O44" s="57" t="s">
        <v>99</v>
      </c>
      <c r="P44" s="50" t="s">
        <v>64</v>
      </c>
      <c r="Q44" s="119">
        <v>45349</v>
      </c>
      <c r="R44" s="79">
        <v>20</v>
      </c>
      <c r="S44" s="78">
        <v>5</v>
      </c>
      <c r="T44" s="78">
        <v>45</v>
      </c>
      <c r="U44" s="169">
        <v>45443</v>
      </c>
      <c r="V44" s="197">
        <v>5</v>
      </c>
      <c r="W44" s="50" t="s">
        <v>351</v>
      </c>
      <c r="X44" s="128">
        <v>45447</v>
      </c>
      <c r="Y44" s="180">
        <v>9.5</v>
      </c>
      <c r="Z44" s="93"/>
      <c r="AA44" s="93" t="s">
        <v>375</v>
      </c>
      <c r="AB44" s="119">
        <v>45511</v>
      </c>
      <c r="AC44" s="77" t="s">
        <v>355</v>
      </c>
      <c r="AD44" s="72">
        <v>100</v>
      </c>
      <c r="AE44" s="70">
        <v>10.526315789473685</v>
      </c>
    </row>
    <row r="45" spans="1:32" ht="15.75" customHeight="1" x14ac:dyDescent="0.25">
      <c r="A45" s="52" t="s">
        <v>188</v>
      </c>
      <c r="B45" s="50" t="s">
        <v>164</v>
      </c>
      <c r="C45" s="50" t="s">
        <v>433</v>
      </c>
      <c r="D45" s="50" t="s">
        <v>428</v>
      </c>
      <c r="E45" s="50">
        <v>3</v>
      </c>
      <c r="F45" s="50" t="s">
        <v>165</v>
      </c>
      <c r="G45" s="69">
        <v>45348</v>
      </c>
      <c r="H45" s="81" t="s">
        <v>180</v>
      </c>
      <c r="I45" s="81" t="s">
        <v>181</v>
      </c>
      <c r="J45" s="50">
        <v>1</v>
      </c>
      <c r="K45" s="50">
        <v>1</v>
      </c>
      <c r="L45" s="50" t="s">
        <v>190</v>
      </c>
      <c r="M45" s="50">
        <v>8</v>
      </c>
      <c r="N45" s="50">
        <v>20</v>
      </c>
      <c r="O45" s="57" t="s">
        <v>99</v>
      </c>
      <c r="P45" s="50" t="s">
        <v>64</v>
      </c>
      <c r="Q45" s="119">
        <v>45349</v>
      </c>
      <c r="R45" s="79">
        <v>8.64</v>
      </c>
      <c r="S45" s="78">
        <v>11.574074074074073</v>
      </c>
      <c r="T45" s="78">
        <v>38.425925925925924</v>
      </c>
      <c r="U45" s="169">
        <v>45443</v>
      </c>
      <c r="V45" s="197">
        <v>6</v>
      </c>
      <c r="W45" s="50" t="s">
        <v>351</v>
      </c>
      <c r="X45" s="128">
        <v>45447</v>
      </c>
      <c r="Y45" s="180">
        <v>13.3</v>
      </c>
      <c r="Z45" s="93"/>
      <c r="AA45" s="93" t="s">
        <v>376</v>
      </c>
      <c r="AB45" s="119">
        <v>45511</v>
      </c>
      <c r="AC45" s="77" t="s">
        <v>355</v>
      </c>
      <c r="AD45" s="72">
        <v>100</v>
      </c>
      <c r="AE45" s="70">
        <v>7.518796992481203</v>
      </c>
    </row>
    <row r="46" spans="1:32" ht="15.75" customHeight="1" x14ac:dyDescent="0.25">
      <c r="A46" s="52" t="s">
        <v>191</v>
      </c>
      <c r="B46" s="50" t="s">
        <v>164</v>
      </c>
      <c r="C46" s="52" t="s">
        <v>433</v>
      </c>
      <c r="D46" s="50" t="s">
        <v>427</v>
      </c>
      <c r="E46" s="52">
        <v>1</v>
      </c>
      <c r="F46" s="95" t="s">
        <v>165</v>
      </c>
      <c r="G46" s="104">
        <v>45343</v>
      </c>
      <c r="H46" s="149" t="s">
        <v>193</v>
      </c>
      <c r="I46" s="149" t="s">
        <v>194</v>
      </c>
      <c r="J46" s="95">
        <v>4</v>
      </c>
      <c r="K46" s="95">
        <v>9</v>
      </c>
      <c r="L46" s="95" t="s">
        <v>195</v>
      </c>
      <c r="M46" s="95">
        <v>22</v>
      </c>
      <c r="N46" s="95">
        <v>20</v>
      </c>
      <c r="O46" s="94" t="s">
        <v>99</v>
      </c>
      <c r="P46" s="95" t="s">
        <v>64</v>
      </c>
      <c r="Q46" s="120">
        <v>45349</v>
      </c>
      <c r="R46" s="102">
        <v>21.6</v>
      </c>
      <c r="S46" s="96">
        <v>4.6296296296296298</v>
      </c>
      <c r="T46" s="96">
        <v>45.370370370370367</v>
      </c>
      <c r="U46" s="169">
        <v>45645</v>
      </c>
      <c r="V46" s="195">
        <v>7</v>
      </c>
      <c r="W46" s="91" t="s">
        <v>351</v>
      </c>
      <c r="X46" s="185">
        <v>45633</v>
      </c>
      <c r="Y46" s="168">
        <v>9.1199999999999992</v>
      </c>
      <c r="Z46" s="186"/>
      <c r="AA46" s="93" t="s">
        <v>402</v>
      </c>
      <c r="AB46" s="130">
        <v>45664</v>
      </c>
      <c r="AC46" s="92" t="s">
        <v>397</v>
      </c>
      <c r="AD46" s="90">
        <v>200</v>
      </c>
      <c r="AE46" s="89">
        <v>21.92982456140351</v>
      </c>
    </row>
    <row r="47" spans="1:32" ht="15.75" customHeight="1" x14ac:dyDescent="0.25">
      <c r="A47" s="52" t="s">
        <v>196</v>
      </c>
      <c r="B47" s="50" t="s">
        <v>164</v>
      </c>
      <c r="C47" s="52" t="s">
        <v>433</v>
      </c>
      <c r="D47" s="50" t="s">
        <v>427</v>
      </c>
      <c r="E47" s="52">
        <v>2</v>
      </c>
      <c r="F47" s="95" t="s">
        <v>94</v>
      </c>
      <c r="G47" s="104">
        <v>45343</v>
      </c>
      <c r="H47" s="149" t="s">
        <v>193</v>
      </c>
      <c r="I47" s="149" t="s">
        <v>194</v>
      </c>
      <c r="J47" s="95">
        <v>4</v>
      </c>
      <c r="K47" s="95">
        <v>9</v>
      </c>
      <c r="L47" s="95" t="s">
        <v>198</v>
      </c>
      <c r="M47" s="95">
        <v>22</v>
      </c>
      <c r="N47" s="95">
        <v>20</v>
      </c>
      <c r="O47" s="94" t="s">
        <v>99</v>
      </c>
      <c r="P47" s="95" t="s">
        <v>64</v>
      </c>
      <c r="Q47" s="120">
        <v>45349</v>
      </c>
      <c r="R47" s="102">
        <v>30.6</v>
      </c>
      <c r="S47" s="96">
        <v>3.2679738562091503</v>
      </c>
      <c r="T47" s="96">
        <v>46.732026143790847</v>
      </c>
      <c r="U47" s="169">
        <v>45645</v>
      </c>
      <c r="V47" s="195">
        <v>8</v>
      </c>
      <c r="W47" s="91" t="s">
        <v>351</v>
      </c>
      <c r="X47" s="185">
        <v>45633</v>
      </c>
      <c r="Y47" s="168">
        <v>114</v>
      </c>
      <c r="Z47" s="93">
        <v>35.799999999999997</v>
      </c>
      <c r="AA47" s="93" t="s">
        <v>403</v>
      </c>
      <c r="AB47" s="130">
        <v>45664</v>
      </c>
      <c r="AC47" s="92" t="s">
        <v>397</v>
      </c>
      <c r="AD47" s="90">
        <v>50</v>
      </c>
      <c r="AE47" s="89">
        <v>1.3966480446927376</v>
      </c>
    </row>
    <row r="48" spans="1:32" ht="15.75" customHeight="1" x14ac:dyDescent="0.25">
      <c r="A48" s="52" t="s">
        <v>201</v>
      </c>
      <c r="B48" s="50" t="s">
        <v>164</v>
      </c>
      <c r="C48" s="52" t="s">
        <v>433</v>
      </c>
      <c r="D48" s="50" t="s">
        <v>427</v>
      </c>
      <c r="E48" s="52">
        <v>3</v>
      </c>
      <c r="F48" s="95" t="s">
        <v>165</v>
      </c>
      <c r="G48" s="104">
        <v>45343</v>
      </c>
      <c r="H48" s="149" t="s">
        <v>193</v>
      </c>
      <c r="I48" s="149" t="s">
        <v>194</v>
      </c>
      <c r="J48" s="95">
        <v>4</v>
      </c>
      <c r="K48" s="95">
        <v>9</v>
      </c>
      <c r="L48" s="95" t="s">
        <v>203</v>
      </c>
      <c r="M48" s="95">
        <v>22</v>
      </c>
      <c r="N48" s="95">
        <v>20</v>
      </c>
      <c r="O48" s="94" t="s">
        <v>99</v>
      </c>
      <c r="P48" s="95" t="s">
        <v>64</v>
      </c>
      <c r="Q48" s="120">
        <v>45349</v>
      </c>
      <c r="R48" s="102">
        <v>27.8</v>
      </c>
      <c r="S48" s="96">
        <v>3.5971223021582732</v>
      </c>
      <c r="T48" s="96">
        <v>46.402877697841724</v>
      </c>
      <c r="U48" s="169">
        <v>45645</v>
      </c>
      <c r="V48" s="195">
        <v>9</v>
      </c>
      <c r="W48" s="91" t="s">
        <v>351</v>
      </c>
      <c r="X48" s="185">
        <v>45633</v>
      </c>
      <c r="Y48" s="168">
        <v>118</v>
      </c>
      <c r="Z48" s="93">
        <v>35.799999999999997</v>
      </c>
      <c r="AA48" s="93" t="s">
        <v>404</v>
      </c>
      <c r="AB48" s="130">
        <v>45664</v>
      </c>
      <c r="AC48" s="92" t="s">
        <v>397</v>
      </c>
      <c r="AD48" s="90">
        <v>50</v>
      </c>
      <c r="AE48" s="89">
        <v>1.3966480446927376</v>
      </c>
    </row>
    <row r="49" spans="1:32" s="114" customFormat="1" ht="15.75" customHeight="1" x14ac:dyDescent="0.25">
      <c r="A49" s="105" t="s">
        <v>205</v>
      </c>
      <c r="B49" s="107" t="s">
        <v>164</v>
      </c>
      <c r="C49" s="105" t="s">
        <v>433</v>
      </c>
      <c r="D49" s="105" t="s">
        <v>427</v>
      </c>
      <c r="E49" s="105" t="s">
        <v>159</v>
      </c>
      <c r="F49" s="105" t="s">
        <v>165</v>
      </c>
      <c r="G49" s="133">
        <v>45343</v>
      </c>
      <c r="H49" s="132" t="s">
        <v>208</v>
      </c>
      <c r="I49" s="132" t="s">
        <v>209</v>
      </c>
      <c r="J49" s="105"/>
      <c r="K49" s="105"/>
      <c r="L49" s="105" t="s">
        <v>210</v>
      </c>
      <c r="M49" s="105"/>
      <c r="N49" s="105">
        <v>1.5</v>
      </c>
      <c r="O49" s="134" t="s">
        <v>99</v>
      </c>
      <c r="P49" s="105" t="s">
        <v>64</v>
      </c>
      <c r="Q49" s="135">
        <v>45349</v>
      </c>
      <c r="R49" s="125">
        <v>0.41399999999999998</v>
      </c>
      <c r="S49" s="110">
        <v>5</v>
      </c>
      <c r="T49" s="110">
        <v>15</v>
      </c>
      <c r="U49" s="173">
        <v>45443</v>
      </c>
      <c r="V49" s="198">
        <v>10</v>
      </c>
      <c r="W49" s="107" t="s">
        <v>351</v>
      </c>
      <c r="X49" s="173">
        <v>45447</v>
      </c>
      <c r="Y49" s="184">
        <v>33</v>
      </c>
      <c r="Z49" s="187"/>
      <c r="AA49" s="188" t="s">
        <v>377</v>
      </c>
      <c r="AB49" s="153">
        <v>45511</v>
      </c>
      <c r="AC49" s="123" t="s">
        <v>355</v>
      </c>
      <c r="AD49" s="109">
        <v>100</v>
      </c>
      <c r="AE49" s="110">
        <v>3.0303030303030303</v>
      </c>
      <c r="AF49" s="116"/>
    </row>
    <row r="50" spans="1:32" ht="15.75" customHeight="1" x14ac:dyDescent="0.25">
      <c r="A50" s="52" t="s">
        <v>254</v>
      </c>
      <c r="B50" s="50" t="s">
        <v>256</v>
      </c>
      <c r="C50" s="50" t="s">
        <v>433</v>
      </c>
      <c r="D50" s="50" t="s">
        <v>429</v>
      </c>
      <c r="E50" s="50">
        <v>1</v>
      </c>
      <c r="F50" s="50" t="s">
        <v>165</v>
      </c>
      <c r="G50" s="69">
        <v>45350</v>
      </c>
      <c r="H50" s="81" t="s">
        <v>257</v>
      </c>
      <c r="I50" s="81" t="s">
        <v>258</v>
      </c>
      <c r="J50" s="50">
        <v>1</v>
      </c>
      <c r="K50" s="50">
        <v>1</v>
      </c>
      <c r="L50" s="50" t="s">
        <v>259</v>
      </c>
      <c r="M50" s="50">
        <v>7</v>
      </c>
      <c r="N50" s="50">
        <v>20</v>
      </c>
      <c r="O50" s="57" t="s">
        <v>63</v>
      </c>
      <c r="P50" s="50" t="s">
        <v>118</v>
      </c>
      <c r="Q50" s="119">
        <v>45357</v>
      </c>
      <c r="R50" s="79">
        <v>6.8</v>
      </c>
      <c r="S50" s="78">
        <v>14.705882352941178</v>
      </c>
      <c r="T50" s="78">
        <v>35.294117647058826</v>
      </c>
      <c r="U50" s="169">
        <v>45450</v>
      </c>
      <c r="V50" s="197">
        <v>13</v>
      </c>
      <c r="W50" s="50" t="s">
        <v>351</v>
      </c>
      <c r="X50" s="128">
        <v>45452</v>
      </c>
      <c r="Y50" s="180">
        <v>10.6</v>
      </c>
      <c r="Z50" s="93"/>
      <c r="AA50" s="93" t="s">
        <v>365</v>
      </c>
      <c r="AB50" s="119">
        <v>45511</v>
      </c>
      <c r="AC50" s="77" t="s">
        <v>355</v>
      </c>
      <c r="AD50" s="72">
        <v>100</v>
      </c>
      <c r="AE50" s="70">
        <v>9.433962264150944</v>
      </c>
    </row>
    <row r="51" spans="1:32" ht="15.75" customHeight="1" x14ac:dyDescent="0.25">
      <c r="A51" s="52" t="s">
        <v>261</v>
      </c>
      <c r="B51" s="50" t="s">
        <v>256</v>
      </c>
      <c r="C51" s="50" t="s">
        <v>433</v>
      </c>
      <c r="D51" s="50" t="s">
        <v>429</v>
      </c>
      <c r="E51" s="50">
        <v>2</v>
      </c>
      <c r="F51" s="50" t="s">
        <v>165</v>
      </c>
      <c r="G51" s="69">
        <v>45350</v>
      </c>
      <c r="H51" s="81" t="s">
        <v>257</v>
      </c>
      <c r="I51" s="81" t="s">
        <v>258</v>
      </c>
      <c r="J51" s="50">
        <v>1</v>
      </c>
      <c r="K51" s="50">
        <v>1</v>
      </c>
      <c r="L51" s="50" t="s">
        <v>263</v>
      </c>
      <c r="M51" s="50">
        <v>7</v>
      </c>
      <c r="N51" s="50">
        <v>20</v>
      </c>
      <c r="O51" s="57" t="s">
        <v>63</v>
      </c>
      <c r="P51" s="50" t="s">
        <v>118</v>
      </c>
      <c r="Q51" s="119">
        <v>45357</v>
      </c>
      <c r="R51" s="79">
        <v>13.5</v>
      </c>
      <c r="S51" s="78">
        <v>7.4074074074074074</v>
      </c>
      <c r="T51" s="78">
        <v>42.592592592592595</v>
      </c>
      <c r="U51" s="169">
        <v>45450</v>
      </c>
      <c r="V51" s="197">
        <v>14</v>
      </c>
      <c r="W51" s="50" t="s">
        <v>351</v>
      </c>
      <c r="X51" s="128">
        <v>45452</v>
      </c>
      <c r="Y51" s="180">
        <v>32.6</v>
      </c>
      <c r="Z51" s="93"/>
      <c r="AA51" s="93" t="s">
        <v>366</v>
      </c>
      <c r="AB51" s="119">
        <v>45511</v>
      </c>
      <c r="AC51" s="77" t="s">
        <v>355</v>
      </c>
      <c r="AD51" s="72">
        <v>100</v>
      </c>
      <c r="AE51" s="70">
        <v>3.0674846625766872</v>
      </c>
    </row>
    <row r="52" spans="1:32" ht="15.75" customHeight="1" x14ac:dyDescent="0.25">
      <c r="A52" s="52" t="s">
        <v>265</v>
      </c>
      <c r="B52" s="50" t="s">
        <v>256</v>
      </c>
      <c r="C52" s="50" t="s">
        <v>433</v>
      </c>
      <c r="D52" s="50" t="s">
        <v>429</v>
      </c>
      <c r="E52" s="50">
        <v>3</v>
      </c>
      <c r="F52" s="50" t="s">
        <v>165</v>
      </c>
      <c r="G52" s="69">
        <v>45350</v>
      </c>
      <c r="H52" s="81" t="s">
        <v>257</v>
      </c>
      <c r="I52" s="81" t="s">
        <v>258</v>
      </c>
      <c r="J52" s="50">
        <v>1</v>
      </c>
      <c r="K52" s="50">
        <v>1</v>
      </c>
      <c r="L52" s="50" t="s">
        <v>267</v>
      </c>
      <c r="M52" s="50">
        <v>8</v>
      </c>
      <c r="N52" s="50">
        <v>20</v>
      </c>
      <c r="O52" s="57" t="s">
        <v>63</v>
      </c>
      <c r="P52" s="50" t="s">
        <v>118</v>
      </c>
      <c r="Q52" s="119">
        <v>45357</v>
      </c>
      <c r="R52" s="79">
        <v>10.199999999999999</v>
      </c>
      <c r="S52" s="78">
        <v>9.8000000000000007</v>
      </c>
      <c r="T52" s="78">
        <v>47.2</v>
      </c>
      <c r="U52" s="169">
        <v>45450</v>
      </c>
      <c r="V52" s="197">
        <v>15</v>
      </c>
      <c r="W52" s="50" t="s">
        <v>351</v>
      </c>
      <c r="X52" s="128">
        <v>45452</v>
      </c>
      <c r="Y52" s="180">
        <v>21.2</v>
      </c>
      <c r="Z52" s="93"/>
      <c r="AA52" s="93" t="s">
        <v>367</v>
      </c>
      <c r="AB52" s="119">
        <v>45511</v>
      </c>
      <c r="AC52" s="77" t="s">
        <v>355</v>
      </c>
      <c r="AD52" s="72">
        <v>100</v>
      </c>
      <c r="AE52" s="70">
        <v>4.716981132075472</v>
      </c>
    </row>
    <row r="53" spans="1:32" ht="15.75" customHeight="1" x14ac:dyDescent="0.25">
      <c r="A53" s="52" t="s">
        <v>269</v>
      </c>
      <c r="B53" s="50" t="s">
        <v>256</v>
      </c>
      <c r="C53" s="50" t="s">
        <v>433</v>
      </c>
      <c r="D53" s="50" t="s">
        <v>428</v>
      </c>
      <c r="E53" s="50">
        <v>1</v>
      </c>
      <c r="F53" s="50" t="s">
        <v>165</v>
      </c>
      <c r="G53" s="69">
        <v>45350</v>
      </c>
      <c r="H53" s="81" t="s">
        <v>271</v>
      </c>
      <c r="I53" s="81" t="s">
        <v>272</v>
      </c>
      <c r="J53" s="50">
        <v>1</v>
      </c>
      <c r="K53" s="50">
        <v>1</v>
      </c>
      <c r="L53" s="50" t="s">
        <v>273</v>
      </c>
      <c r="M53" s="50">
        <v>8</v>
      </c>
      <c r="N53" s="50">
        <v>20</v>
      </c>
      <c r="O53" s="57" t="s">
        <v>63</v>
      </c>
      <c r="P53" s="50" t="s">
        <v>274</v>
      </c>
      <c r="Q53" s="119">
        <v>45357</v>
      </c>
      <c r="R53" s="79">
        <v>15.6</v>
      </c>
      <c r="S53" s="78">
        <v>6.4102564102564106</v>
      </c>
      <c r="T53" s="78">
        <v>43.589743589743591</v>
      </c>
      <c r="U53" s="169">
        <v>45450</v>
      </c>
      <c r="V53" s="197">
        <v>16</v>
      </c>
      <c r="W53" s="50" t="s">
        <v>351</v>
      </c>
      <c r="X53" s="128">
        <v>45453</v>
      </c>
      <c r="Y53" s="180">
        <v>11.2</v>
      </c>
      <c r="Z53" s="93"/>
      <c r="AA53" s="93" t="s">
        <v>368</v>
      </c>
      <c r="AB53" s="119">
        <v>45511</v>
      </c>
      <c r="AC53" s="77" t="s">
        <v>355</v>
      </c>
      <c r="AD53" s="72">
        <v>100</v>
      </c>
      <c r="AE53" s="70">
        <v>8.9285714285714288</v>
      </c>
    </row>
    <row r="54" spans="1:32" ht="15.75" customHeight="1" x14ac:dyDescent="0.25">
      <c r="A54" s="52" t="s">
        <v>277</v>
      </c>
      <c r="B54" s="50" t="s">
        <v>256</v>
      </c>
      <c r="C54" s="52" t="s">
        <v>433</v>
      </c>
      <c r="D54" s="50" t="s">
        <v>428</v>
      </c>
      <c r="E54" s="52">
        <v>2</v>
      </c>
      <c r="F54" s="95" t="s">
        <v>165</v>
      </c>
      <c r="G54" s="104">
        <v>45350</v>
      </c>
      <c r="H54" s="149" t="s">
        <v>271</v>
      </c>
      <c r="I54" s="149" t="s">
        <v>272</v>
      </c>
      <c r="J54" s="95">
        <v>1</v>
      </c>
      <c r="K54" s="95">
        <v>1</v>
      </c>
      <c r="L54" s="95" t="s">
        <v>279</v>
      </c>
      <c r="M54" s="95">
        <v>8</v>
      </c>
      <c r="N54" s="95">
        <v>20</v>
      </c>
      <c r="O54" s="94" t="s">
        <v>63</v>
      </c>
      <c r="P54" s="95" t="s">
        <v>274</v>
      </c>
      <c r="Q54" s="120">
        <v>45357</v>
      </c>
      <c r="R54" s="102">
        <v>20.399999999999999</v>
      </c>
      <c r="S54" s="96">
        <v>4.9019607843137258</v>
      </c>
      <c r="T54" s="96">
        <v>45.098039215686271</v>
      </c>
      <c r="U54" s="169">
        <v>45645</v>
      </c>
      <c r="V54" s="196">
        <v>2</v>
      </c>
      <c r="W54" s="91" t="s">
        <v>351</v>
      </c>
      <c r="X54" s="185">
        <v>45666</v>
      </c>
      <c r="Y54" s="168">
        <v>11.2</v>
      </c>
      <c r="Z54" s="186"/>
      <c r="AA54" s="93" t="s">
        <v>410</v>
      </c>
      <c r="AB54" s="130">
        <v>45667</v>
      </c>
      <c r="AC54" s="126" t="s">
        <v>409</v>
      </c>
      <c r="AD54" s="80">
        <v>200</v>
      </c>
      <c r="AE54" s="89">
        <v>17.857142857142858</v>
      </c>
    </row>
    <row r="55" spans="1:32" ht="15.75" customHeight="1" x14ac:dyDescent="0.25">
      <c r="A55" s="52" t="s">
        <v>281</v>
      </c>
      <c r="B55" s="50" t="s">
        <v>256</v>
      </c>
      <c r="C55" s="52" t="s">
        <v>433</v>
      </c>
      <c r="D55" s="50" t="s">
        <v>428</v>
      </c>
      <c r="E55" s="52">
        <v>3</v>
      </c>
      <c r="F55" s="95" t="s">
        <v>165</v>
      </c>
      <c r="G55" s="104">
        <v>45350</v>
      </c>
      <c r="H55" s="149" t="s">
        <v>271</v>
      </c>
      <c r="I55" s="149" t="s">
        <v>272</v>
      </c>
      <c r="J55" s="95">
        <v>1</v>
      </c>
      <c r="K55" s="95">
        <v>1</v>
      </c>
      <c r="L55" s="95" t="s">
        <v>283</v>
      </c>
      <c r="M55" s="95">
        <v>8</v>
      </c>
      <c r="N55" s="95">
        <v>20</v>
      </c>
      <c r="O55" s="94" t="s">
        <v>63</v>
      </c>
      <c r="P55" s="95" t="s">
        <v>274</v>
      </c>
      <c r="Q55" s="120">
        <v>45357</v>
      </c>
      <c r="R55" s="102">
        <v>15.8</v>
      </c>
      <c r="S55" s="96">
        <v>6.3291139240506329</v>
      </c>
      <c r="T55" s="96">
        <v>43.670886075949369</v>
      </c>
      <c r="U55" s="169">
        <v>45645</v>
      </c>
      <c r="V55" s="196">
        <v>3</v>
      </c>
      <c r="W55" s="91" t="s">
        <v>351</v>
      </c>
      <c r="X55" s="185">
        <v>45666</v>
      </c>
      <c r="Y55" s="168">
        <v>73.400000000000006</v>
      </c>
      <c r="Z55" s="93">
        <v>34.4</v>
      </c>
      <c r="AA55" s="93" t="s">
        <v>411</v>
      </c>
      <c r="AB55" s="130">
        <v>45667</v>
      </c>
      <c r="AC55" s="126" t="s">
        <v>409</v>
      </c>
      <c r="AD55" s="80">
        <v>200</v>
      </c>
      <c r="AE55" s="89">
        <v>5.8139534883720936</v>
      </c>
    </row>
    <row r="56" spans="1:32" ht="15.75" customHeight="1" x14ac:dyDescent="0.25">
      <c r="A56" s="52" t="s">
        <v>285</v>
      </c>
      <c r="B56" s="50" t="s">
        <v>256</v>
      </c>
      <c r="C56" s="50" t="s">
        <v>433</v>
      </c>
      <c r="D56" s="50" t="s">
        <v>427</v>
      </c>
      <c r="E56" s="50">
        <v>1</v>
      </c>
      <c r="F56" s="50" t="s">
        <v>165</v>
      </c>
      <c r="G56" s="69">
        <v>45344</v>
      </c>
      <c r="H56" s="81" t="s">
        <v>287</v>
      </c>
      <c r="I56" s="81" t="s">
        <v>288</v>
      </c>
      <c r="J56" s="50">
        <v>6</v>
      </c>
      <c r="K56" s="50">
        <v>9</v>
      </c>
      <c r="L56" s="50" t="s">
        <v>289</v>
      </c>
      <c r="M56" s="50">
        <v>22</v>
      </c>
      <c r="N56" s="50">
        <v>20</v>
      </c>
      <c r="O56" s="57" t="s">
        <v>99</v>
      </c>
      <c r="P56" s="50" t="s">
        <v>64</v>
      </c>
      <c r="Q56" s="119">
        <v>45349</v>
      </c>
      <c r="R56" s="79">
        <v>3.32</v>
      </c>
      <c r="S56" s="78">
        <v>12.048192771084338</v>
      </c>
      <c r="T56" s="78">
        <v>7.9518072289156621</v>
      </c>
      <c r="U56" s="169">
        <v>45491</v>
      </c>
      <c r="V56" s="197">
        <v>11</v>
      </c>
      <c r="W56" s="50" t="s">
        <v>351</v>
      </c>
      <c r="X56" s="128">
        <v>45491</v>
      </c>
      <c r="Y56" s="180">
        <v>20.399999999999999</v>
      </c>
      <c r="Z56" s="93"/>
      <c r="AA56" s="93" t="s">
        <v>358</v>
      </c>
      <c r="AB56" s="119">
        <v>45511</v>
      </c>
      <c r="AC56" s="77" t="s">
        <v>355</v>
      </c>
      <c r="AD56" s="72">
        <v>100</v>
      </c>
      <c r="AE56" s="70">
        <v>4.9019607843137258</v>
      </c>
    </row>
    <row r="57" spans="1:32" ht="15.75" customHeight="1" x14ac:dyDescent="0.25">
      <c r="A57" s="52" t="s">
        <v>291</v>
      </c>
      <c r="B57" s="50" t="s">
        <v>256</v>
      </c>
      <c r="C57" s="52" t="s">
        <v>433</v>
      </c>
      <c r="D57" s="50" t="s">
        <v>427</v>
      </c>
      <c r="E57" s="52">
        <v>2</v>
      </c>
      <c r="F57" s="95" t="s">
        <v>94</v>
      </c>
      <c r="G57" s="104">
        <v>45344</v>
      </c>
      <c r="H57" s="149" t="s">
        <v>287</v>
      </c>
      <c r="I57" s="149" t="s">
        <v>288</v>
      </c>
      <c r="J57" s="95">
        <v>6</v>
      </c>
      <c r="K57" s="95">
        <v>9</v>
      </c>
      <c r="L57" s="95" t="s">
        <v>289</v>
      </c>
      <c r="M57" s="95">
        <v>8</v>
      </c>
      <c r="N57" s="95">
        <v>20</v>
      </c>
      <c r="O57" s="94" t="s">
        <v>99</v>
      </c>
      <c r="P57" s="95" t="s">
        <v>64</v>
      </c>
      <c r="Q57" s="120">
        <v>45349</v>
      </c>
      <c r="R57" s="102">
        <v>3.36</v>
      </c>
      <c r="S57" s="96">
        <v>29.761904761904763</v>
      </c>
      <c r="T57" s="96">
        <v>20.238095238095237</v>
      </c>
      <c r="U57" s="169">
        <v>45645</v>
      </c>
      <c r="V57" s="195">
        <v>12</v>
      </c>
      <c r="W57" s="91" t="s">
        <v>351</v>
      </c>
      <c r="X57" s="185">
        <v>45998</v>
      </c>
      <c r="Y57" s="168">
        <v>4.1399999999999997</v>
      </c>
      <c r="Z57" s="186"/>
      <c r="AA57" s="93" t="s">
        <v>407</v>
      </c>
      <c r="AB57" s="130">
        <v>45664</v>
      </c>
      <c r="AC57" s="92" t="s">
        <v>397</v>
      </c>
      <c r="AD57" s="90">
        <v>100</v>
      </c>
      <c r="AE57" s="89">
        <v>24.154589371980677</v>
      </c>
    </row>
    <row r="58" spans="1:32" s="114" customFormat="1" x14ac:dyDescent="0.25">
      <c r="A58" s="87" t="s">
        <v>294</v>
      </c>
      <c r="B58" s="51" t="s">
        <v>256</v>
      </c>
      <c r="C58" s="87" t="s">
        <v>433</v>
      </c>
      <c r="D58" s="51" t="s">
        <v>427</v>
      </c>
      <c r="E58" s="87">
        <v>3</v>
      </c>
      <c r="F58" s="114" t="s">
        <v>94</v>
      </c>
      <c r="G58" s="101">
        <v>45344</v>
      </c>
      <c r="H58" s="150" t="s">
        <v>287</v>
      </c>
      <c r="I58" s="150" t="s">
        <v>288</v>
      </c>
      <c r="J58" s="114">
        <v>6</v>
      </c>
      <c r="K58" s="114">
        <v>9</v>
      </c>
      <c r="L58" s="114" t="s">
        <v>296</v>
      </c>
      <c r="M58" s="114">
        <v>13</v>
      </c>
      <c r="N58" s="114">
        <v>20</v>
      </c>
      <c r="O58" s="136" t="s">
        <v>99</v>
      </c>
      <c r="P58" s="114" t="s">
        <v>64</v>
      </c>
      <c r="Q58" s="137">
        <v>45349</v>
      </c>
      <c r="R58" s="210">
        <v>2.72</v>
      </c>
      <c r="S58" s="116">
        <v>36.764705882352942</v>
      </c>
      <c r="T58" s="116">
        <v>13.235294117647058</v>
      </c>
      <c r="U58" s="170">
        <v>45645</v>
      </c>
      <c r="V58" s="199">
        <v>1</v>
      </c>
      <c r="W58" s="112" t="s">
        <v>351</v>
      </c>
      <c r="X58" s="191">
        <v>45666</v>
      </c>
      <c r="Y58" s="183">
        <v>5.58</v>
      </c>
      <c r="Z58" s="192"/>
      <c r="AA58" s="190" t="s">
        <v>408</v>
      </c>
      <c r="AB58" s="138">
        <v>45667</v>
      </c>
      <c r="AC58" s="203" t="s">
        <v>409</v>
      </c>
      <c r="AD58" s="115">
        <v>200</v>
      </c>
      <c r="AE58" s="113">
        <v>35.842293906810035</v>
      </c>
      <c r="AF58" s="116"/>
    </row>
    <row r="59" spans="1:32" ht="15.75" customHeight="1" x14ac:dyDescent="0.25">
      <c r="A59" s="154" t="s">
        <v>348</v>
      </c>
      <c r="B59" s="155" t="s">
        <v>423</v>
      </c>
      <c r="C59" s="155"/>
      <c r="D59" s="155"/>
      <c r="E59" s="155"/>
      <c r="F59" s="155"/>
      <c r="G59" s="156"/>
      <c r="H59" s="157"/>
      <c r="I59" s="157"/>
      <c r="J59" s="155"/>
      <c r="K59" s="155"/>
      <c r="L59" s="155"/>
      <c r="M59" s="155"/>
      <c r="N59" s="155"/>
      <c r="O59" s="62"/>
      <c r="P59" s="155"/>
      <c r="Q59" s="158"/>
      <c r="R59" s="207"/>
      <c r="S59" s="54"/>
      <c r="T59" s="54"/>
      <c r="U59" s="174">
        <v>45443</v>
      </c>
      <c r="V59" s="71">
        <v>11</v>
      </c>
      <c r="W59" s="53" t="s">
        <v>351</v>
      </c>
      <c r="X59" s="122">
        <v>45450</v>
      </c>
      <c r="Y59" s="54">
        <v>1.61</v>
      </c>
      <c r="Z59" s="53"/>
      <c r="AA59" s="53"/>
      <c r="AB59" s="122">
        <v>45509</v>
      </c>
      <c r="AC59" s="76" t="s">
        <v>354</v>
      </c>
      <c r="AD59" s="79">
        <v>10</v>
      </c>
      <c r="AE59" s="78">
        <v>6.2111801242236018</v>
      </c>
    </row>
    <row r="60" spans="1:32" ht="15.75" customHeight="1" x14ac:dyDescent="0.25">
      <c r="A60" s="53" t="s">
        <v>420</v>
      </c>
      <c r="B60" s="53" t="s">
        <v>423</v>
      </c>
      <c r="C60" s="117"/>
      <c r="D60" s="117"/>
      <c r="E60" s="117"/>
      <c r="F60" s="117"/>
      <c r="G60" s="159"/>
      <c r="H60" s="117"/>
      <c r="I60" s="117"/>
      <c r="J60" s="117"/>
      <c r="K60" s="117"/>
      <c r="L60" s="117"/>
      <c r="M60" s="117"/>
      <c r="N60" s="117"/>
      <c r="O60" s="160"/>
      <c r="P60" s="117"/>
      <c r="Q60" s="161"/>
      <c r="R60" s="208"/>
      <c r="S60" s="162"/>
      <c r="T60" s="162"/>
      <c r="U60" s="174">
        <v>45645</v>
      </c>
      <c r="V60" s="200">
        <v>13</v>
      </c>
      <c r="W60" s="175" t="s">
        <v>351</v>
      </c>
      <c r="X60" s="176">
        <v>45666</v>
      </c>
      <c r="Y60" s="53">
        <v>1.1499999999999999</v>
      </c>
      <c r="Z60" s="117"/>
      <c r="AA60" s="117"/>
      <c r="AB60" s="178">
        <v>45667</v>
      </c>
      <c r="AC60" s="126" t="s">
        <v>409</v>
      </c>
      <c r="AD60" s="205">
        <v>20</v>
      </c>
      <c r="AE60" s="206">
        <v>17.471581245567805</v>
      </c>
    </row>
    <row r="61" spans="1:32" ht="15.75" customHeight="1" x14ac:dyDescent="0.25">
      <c r="A61" s="75" t="s">
        <v>369</v>
      </c>
      <c r="B61" s="53" t="s">
        <v>423</v>
      </c>
      <c r="C61" s="117"/>
      <c r="D61" s="117"/>
      <c r="E61" s="53"/>
      <c r="F61" s="117"/>
      <c r="G61" s="163"/>
      <c r="H61" s="164"/>
      <c r="I61" s="164"/>
      <c r="J61" s="117"/>
      <c r="K61" s="117"/>
      <c r="L61" s="117"/>
      <c r="M61" s="117"/>
      <c r="N61" s="117"/>
      <c r="O61" s="160"/>
      <c r="P61" s="165"/>
      <c r="Q61" s="166"/>
      <c r="R61" s="209"/>
      <c r="S61" s="54"/>
      <c r="T61" s="54"/>
      <c r="U61" s="174">
        <v>45645</v>
      </c>
      <c r="V61" s="74">
        <v>22</v>
      </c>
      <c r="W61" s="53" t="s">
        <v>351</v>
      </c>
      <c r="X61" s="176">
        <v>45666</v>
      </c>
      <c r="Y61" s="54">
        <v>1.97</v>
      </c>
      <c r="Z61" s="53"/>
      <c r="AA61" s="53" t="s">
        <v>370</v>
      </c>
      <c r="AB61" s="122">
        <v>45514</v>
      </c>
      <c r="AC61" s="73" t="s">
        <v>353</v>
      </c>
      <c r="AD61" s="79">
        <v>10</v>
      </c>
      <c r="AE61" s="78">
        <v>5.0761421319796955</v>
      </c>
    </row>
    <row r="62" spans="1:32" ht="15.75" customHeight="1" x14ac:dyDescent="0.25">
      <c r="A62" s="154" t="s">
        <v>349</v>
      </c>
      <c r="B62" s="155" t="s">
        <v>423</v>
      </c>
      <c r="C62" s="155"/>
      <c r="D62" s="155"/>
      <c r="E62" s="155"/>
      <c r="F62" s="155"/>
      <c r="G62" s="156"/>
      <c r="H62" s="157"/>
      <c r="I62" s="157"/>
      <c r="J62" s="155"/>
      <c r="K62" s="155"/>
      <c r="L62" s="155"/>
      <c r="M62" s="155"/>
      <c r="N62" s="155"/>
      <c r="O62" s="62"/>
      <c r="P62" s="155"/>
      <c r="Q62" s="158"/>
      <c r="R62" s="207"/>
      <c r="S62" s="54"/>
      <c r="T62" s="54"/>
      <c r="U62" s="174">
        <v>45443</v>
      </c>
      <c r="V62" s="71">
        <v>24</v>
      </c>
      <c r="W62" s="53" t="s">
        <v>351</v>
      </c>
      <c r="X62" s="122">
        <v>45447</v>
      </c>
      <c r="Y62" s="54">
        <v>36</v>
      </c>
      <c r="Z62" s="53">
        <v>9.58</v>
      </c>
      <c r="AA62" s="53"/>
      <c r="AB62" s="122">
        <v>45509</v>
      </c>
      <c r="AC62" s="76" t="s">
        <v>354</v>
      </c>
      <c r="AD62" s="72">
        <v>10</v>
      </c>
      <c r="AE62" s="70">
        <v>1.0438413361169103</v>
      </c>
    </row>
    <row r="63" spans="1:32" ht="15.75" customHeight="1" x14ac:dyDescent="0.25">
      <c r="A63" s="53" t="s">
        <v>418</v>
      </c>
      <c r="B63" s="53" t="s">
        <v>423</v>
      </c>
      <c r="C63" s="117"/>
      <c r="D63" s="117"/>
      <c r="E63" s="117"/>
      <c r="F63" s="117"/>
      <c r="G63" s="159"/>
      <c r="H63" s="117"/>
      <c r="I63" s="117"/>
      <c r="J63" s="117"/>
      <c r="K63" s="117"/>
      <c r="L63" s="117"/>
      <c r="M63" s="117"/>
      <c r="N63" s="117"/>
      <c r="O63" s="160"/>
      <c r="P63" s="117"/>
      <c r="Q63" s="167"/>
      <c r="R63" s="208"/>
      <c r="S63" s="162"/>
      <c r="T63" s="54"/>
      <c r="U63" s="174">
        <v>45645</v>
      </c>
      <c r="V63" s="201">
        <v>24</v>
      </c>
      <c r="W63" s="175" t="s">
        <v>351</v>
      </c>
      <c r="X63" s="176">
        <v>45633</v>
      </c>
      <c r="Y63" s="53">
        <v>108</v>
      </c>
      <c r="Z63" s="53">
        <v>14.4</v>
      </c>
      <c r="AA63" s="177" t="s">
        <v>419</v>
      </c>
      <c r="AB63" s="178">
        <v>45664</v>
      </c>
      <c r="AC63" s="92" t="s">
        <v>397</v>
      </c>
      <c r="AD63" s="90">
        <v>25</v>
      </c>
      <c r="AE63" s="89">
        <v>1.7361111111111112</v>
      </c>
    </row>
    <row r="64" spans="1:32" ht="15.75" customHeight="1" x14ac:dyDescent="0.25">
      <c r="A64" s="75" t="s">
        <v>350</v>
      </c>
      <c r="B64" s="53" t="s">
        <v>423</v>
      </c>
      <c r="C64" s="117"/>
      <c r="D64" s="117"/>
      <c r="E64" s="53"/>
      <c r="F64" s="117"/>
      <c r="G64" s="163"/>
      <c r="H64" s="164"/>
      <c r="I64" s="164"/>
      <c r="J64" s="117"/>
      <c r="K64" s="117"/>
      <c r="L64" s="117"/>
      <c r="M64" s="117"/>
      <c r="N64" s="117"/>
      <c r="O64" s="160"/>
      <c r="P64" s="165"/>
      <c r="Q64" s="166"/>
      <c r="R64" s="209"/>
      <c r="S64" s="54"/>
      <c r="T64" s="54"/>
      <c r="U64" s="174">
        <v>45645</v>
      </c>
      <c r="V64" s="197">
        <v>20</v>
      </c>
      <c r="W64" s="53" t="s">
        <v>351</v>
      </c>
      <c r="X64" s="122">
        <v>45453</v>
      </c>
      <c r="Y64" s="54">
        <v>39.6</v>
      </c>
      <c r="Z64" s="53">
        <v>8.24</v>
      </c>
      <c r="AA64" s="75" t="s">
        <v>382</v>
      </c>
      <c r="AB64" s="131"/>
      <c r="AC64" s="77"/>
      <c r="AD64" s="72">
        <v>10</v>
      </c>
      <c r="AE64" s="70">
        <v>1.2135922330097086</v>
      </c>
    </row>
    <row r="65" spans="4:4" ht="15" customHeight="1" x14ac:dyDescent="0.25">
      <c r="D65" s="52"/>
    </row>
  </sheetData>
  <autoFilter ref="D1:D64"/>
  <sortState ref="A2:BZ1085">
    <sortCondition ref="B1"/>
  </sortState>
  <customSheetViews>
    <customSheetView guid="{31DE5CA8-FFBA-4668-A57F-F27350AE1786}" filter="1" showAutoFilter="1">
      <pageMargins left="0.7" right="0.7" top="0.75" bottom="0.75" header="0.3" footer="0.3"/>
      <autoFilter ref="H1:H1000"/>
    </customSheetView>
  </customSheetViews>
  <pageMargins left="0.25" right="0.25" top="0.75" bottom="0.75" header="0" footer="0"/>
  <pageSetup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72"/>
  <sheetViews>
    <sheetView workbookViewId="0">
      <selection activeCell="B32" sqref="B32"/>
    </sheetView>
  </sheetViews>
  <sheetFormatPr baseColWidth="10" defaultRowHeight="15" x14ac:dyDescent="0.25"/>
  <sheetData>
    <row r="1" spans="1:5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1" t="s">
        <v>22</v>
      </c>
      <c r="X1" s="141" t="s">
        <v>23</v>
      </c>
      <c r="Y1" s="5" t="s">
        <v>24</v>
      </c>
      <c r="Z1" s="6" t="s">
        <v>25</v>
      </c>
      <c r="AA1" s="8" t="s">
        <v>26</v>
      </c>
      <c r="AB1" s="7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142" t="s">
        <v>34</v>
      </c>
      <c r="AJ1" s="9" t="s">
        <v>35</v>
      </c>
      <c r="AK1" s="9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43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44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</row>
    <row r="2" spans="1:53" x14ac:dyDescent="0.25">
      <c r="A2" s="18" t="s">
        <v>53</v>
      </c>
      <c r="B2" s="18">
        <v>1</v>
      </c>
      <c r="C2" s="18">
        <v>1</v>
      </c>
      <c r="D2" s="18" t="s">
        <v>54</v>
      </c>
      <c r="E2" s="18" t="s">
        <v>55</v>
      </c>
      <c r="F2" s="18" t="s">
        <v>56</v>
      </c>
      <c r="G2" s="18" t="s">
        <v>55</v>
      </c>
      <c r="H2" s="18" t="s">
        <v>57</v>
      </c>
      <c r="I2" s="18">
        <v>1</v>
      </c>
      <c r="J2" s="18" t="s">
        <v>58</v>
      </c>
      <c r="K2" s="19" t="s">
        <v>59</v>
      </c>
      <c r="L2" s="13">
        <v>45351</v>
      </c>
      <c r="M2" s="19" t="s">
        <v>60</v>
      </c>
      <c r="N2" s="19" t="s">
        <v>61</v>
      </c>
      <c r="O2" s="18">
        <v>1</v>
      </c>
      <c r="P2" s="18">
        <v>2</v>
      </c>
      <c r="Q2" s="18" t="s">
        <v>62</v>
      </c>
      <c r="R2" s="18">
        <v>9</v>
      </c>
      <c r="S2" s="18">
        <v>20</v>
      </c>
      <c r="T2" s="18" t="s">
        <v>63</v>
      </c>
      <c r="U2" s="14" t="s">
        <v>64</v>
      </c>
      <c r="V2" s="14"/>
      <c r="W2" s="14"/>
      <c r="X2" s="15"/>
      <c r="Y2" s="16">
        <v>45356</v>
      </c>
      <c r="Z2" s="19" t="s">
        <v>65</v>
      </c>
      <c r="AA2" s="18">
        <v>50</v>
      </c>
      <c r="AB2" s="17">
        <f t="shared" ref="AB2:AB19" si="0">AA2*AD2/Z2</f>
        <v>33.333333333333336</v>
      </c>
      <c r="AC2" s="17">
        <f t="shared" ref="AC2:AC19" si="1">AA2-AB2</f>
        <v>16.666666666666664</v>
      </c>
      <c r="AD2" s="18">
        <v>2</v>
      </c>
      <c r="AE2" s="18">
        <v>2.08</v>
      </c>
      <c r="AF2" s="14" t="s">
        <v>66</v>
      </c>
      <c r="AG2" s="17">
        <f t="shared" ref="AG2:AG19" si="2">100-AB2</f>
        <v>66.666666666666657</v>
      </c>
      <c r="AH2" s="18"/>
      <c r="AI2" s="145" t="s">
        <v>67</v>
      </c>
      <c r="AJ2" s="18"/>
      <c r="AK2" s="18">
        <v>1</v>
      </c>
      <c r="AL2" s="18"/>
      <c r="AM2" s="18"/>
      <c r="AN2" s="18" t="str">
        <f t="shared" ref="AN2:AN172" si="3">CONCATENATE(A2,AK2)</f>
        <v>M1L1</v>
      </c>
      <c r="AO2" s="18"/>
      <c r="AP2" s="18"/>
      <c r="AQ2" s="15"/>
      <c r="AR2" s="18"/>
      <c r="AS2" s="18"/>
      <c r="AT2" s="18"/>
      <c r="AU2" s="18"/>
      <c r="AV2" s="15"/>
      <c r="AW2" s="18"/>
      <c r="AX2" s="18"/>
      <c r="AY2" s="18"/>
      <c r="AZ2" s="18"/>
      <c r="BA2" s="18"/>
    </row>
    <row r="3" spans="1:53" x14ac:dyDescent="0.25">
      <c r="A3" s="18" t="s">
        <v>68</v>
      </c>
      <c r="B3" s="18">
        <v>2</v>
      </c>
      <c r="C3" s="18">
        <v>1</v>
      </c>
      <c r="D3" s="18" t="s">
        <v>69</v>
      </c>
      <c r="E3" s="18" t="s">
        <v>55</v>
      </c>
      <c r="F3" s="18" t="s">
        <v>56</v>
      </c>
      <c r="G3" s="18" t="s">
        <v>55</v>
      </c>
      <c r="H3" s="18" t="s">
        <v>70</v>
      </c>
      <c r="I3" s="18">
        <v>2</v>
      </c>
      <c r="J3" s="18" t="s">
        <v>58</v>
      </c>
      <c r="K3" s="19" t="s">
        <v>59</v>
      </c>
      <c r="L3" s="13">
        <v>45351</v>
      </c>
      <c r="M3" s="19" t="s">
        <v>60</v>
      </c>
      <c r="N3" s="19" t="s">
        <v>61</v>
      </c>
      <c r="O3" s="18">
        <v>1</v>
      </c>
      <c r="P3" s="18">
        <v>2</v>
      </c>
      <c r="Q3" s="18" t="s">
        <v>71</v>
      </c>
      <c r="R3" s="18">
        <v>8</v>
      </c>
      <c r="S3" s="18">
        <v>20</v>
      </c>
      <c r="T3" s="18" t="s">
        <v>63</v>
      </c>
      <c r="U3" s="14" t="s">
        <v>64</v>
      </c>
      <c r="V3" s="14"/>
      <c r="W3" s="14"/>
      <c r="X3" s="15"/>
      <c r="Y3" s="16">
        <v>45356</v>
      </c>
      <c r="Z3" s="19" t="s">
        <v>335</v>
      </c>
      <c r="AA3" s="18">
        <v>50</v>
      </c>
      <c r="AB3" s="17">
        <f t="shared" si="0"/>
        <v>23.041474654377883</v>
      </c>
      <c r="AC3" s="17">
        <f t="shared" si="1"/>
        <v>26.958525345622117</v>
      </c>
      <c r="AD3" s="18">
        <v>2</v>
      </c>
      <c r="AE3" s="48">
        <v>2.72</v>
      </c>
      <c r="AF3" s="14" t="s">
        <v>66</v>
      </c>
      <c r="AG3" s="17">
        <f t="shared" si="2"/>
        <v>76.958525345622121</v>
      </c>
      <c r="AH3" s="18"/>
      <c r="AI3" s="145" t="s">
        <v>67</v>
      </c>
      <c r="AJ3" s="18"/>
      <c r="AK3" s="18">
        <v>1</v>
      </c>
      <c r="AL3" s="18"/>
      <c r="AM3" s="18"/>
      <c r="AN3" s="18" t="str">
        <f t="shared" si="3"/>
        <v>M2L1</v>
      </c>
      <c r="AO3" s="18"/>
      <c r="AP3" s="18"/>
      <c r="AQ3" s="15"/>
      <c r="AR3" s="18"/>
      <c r="AS3" s="18"/>
      <c r="AT3" s="18"/>
      <c r="AU3" s="18"/>
      <c r="AV3" s="15"/>
      <c r="AW3" s="18"/>
      <c r="AX3" s="18"/>
      <c r="AY3" s="18"/>
      <c r="AZ3" s="18"/>
      <c r="BA3" s="18"/>
    </row>
    <row r="4" spans="1:53" x14ac:dyDescent="0.25">
      <c r="A4" s="18" t="s">
        <v>72</v>
      </c>
      <c r="B4" s="18">
        <v>3</v>
      </c>
      <c r="C4" s="18">
        <v>1</v>
      </c>
      <c r="D4" s="18" t="s">
        <v>73</v>
      </c>
      <c r="E4" s="18" t="s">
        <v>55</v>
      </c>
      <c r="F4" s="18" t="s">
        <v>56</v>
      </c>
      <c r="G4" s="18" t="s">
        <v>55</v>
      </c>
      <c r="H4" s="18" t="s">
        <v>70</v>
      </c>
      <c r="I4" s="18">
        <v>3</v>
      </c>
      <c r="J4" s="18" t="s">
        <v>58</v>
      </c>
      <c r="K4" s="19" t="s">
        <v>59</v>
      </c>
      <c r="L4" s="13">
        <v>45351</v>
      </c>
      <c r="M4" s="19" t="s">
        <v>60</v>
      </c>
      <c r="N4" s="19" t="s">
        <v>61</v>
      </c>
      <c r="O4" s="18">
        <v>1</v>
      </c>
      <c r="P4" s="18">
        <v>2</v>
      </c>
      <c r="Q4" s="18" t="s">
        <v>74</v>
      </c>
      <c r="R4" s="18">
        <v>8</v>
      </c>
      <c r="S4" s="18">
        <v>20</v>
      </c>
      <c r="T4" s="18" t="s">
        <v>63</v>
      </c>
      <c r="U4" s="14" t="s">
        <v>64</v>
      </c>
      <c r="V4" s="14"/>
      <c r="W4" s="14"/>
      <c r="X4" s="15"/>
      <c r="Y4" s="16">
        <v>45356</v>
      </c>
      <c r="Z4" s="19" t="s">
        <v>75</v>
      </c>
      <c r="AA4" s="18">
        <v>50</v>
      </c>
      <c r="AB4" s="17">
        <f t="shared" si="0"/>
        <v>24.875621890547265</v>
      </c>
      <c r="AC4" s="17">
        <f t="shared" si="1"/>
        <v>25.124378109452735</v>
      </c>
      <c r="AD4" s="18">
        <v>2</v>
      </c>
      <c r="AE4" s="18">
        <v>1.89</v>
      </c>
      <c r="AF4" s="14" t="s">
        <v>66</v>
      </c>
      <c r="AG4" s="17">
        <f t="shared" si="2"/>
        <v>75.124378109452735</v>
      </c>
      <c r="AH4" s="18"/>
      <c r="AI4" s="145" t="s">
        <v>67</v>
      </c>
      <c r="AJ4" s="18"/>
      <c r="AK4" s="18">
        <v>1</v>
      </c>
      <c r="AL4" s="18"/>
      <c r="AM4" s="18"/>
      <c r="AN4" s="18" t="str">
        <f t="shared" si="3"/>
        <v>M3L1</v>
      </c>
      <c r="AO4" s="18"/>
      <c r="AP4" s="18"/>
      <c r="AQ4" s="15"/>
      <c r="AR4" s="18"/>
      <c r="AS4" s="18"/>
      <c r="AT4" s="18"/>
      <c r="AU4" s="18"/>
      <c r="AV4" s="15"/>
      <c r="AW4" s="18"/>
      <c r="AX4" s="18"/>
      <c r="AY4" s="18"/>
      <c r="AZ4" s="18"/>
      <c r="BA4" s="18"/>
    </row>
    <row r="5" spans="1:53" x14ac:dyDescent="0.25">
      <c r="A5" s="18" t="s">
        <v>76</v>
      </c>
      <c r="B5" s="18">
        <v>4</v>
      </c>
      <c r="C5" s="18">
        <v>1</v>
      </c>
      <c r="D5" s="18" t="s">
        <v>77</v>
      </c>
      <c r="E5" s="18" t="s">
        <v>55</v>
      </c>
      <c r="F5" s="18" t="s">
        <v>56</v>
      </c>
      <c r="G5" s="18" t="s">
        <v>55</v>
      </c>
      <c r="H5" s="18" t="s">
        <v>78</v>
      </c>
      <c r="I5" s="18">
        <v>1</v>
      </c>
      <c r="J5" s="18" t="s">
        <v>58</v>
      </c>
      <c r="K5" s="19" t="s">
        <v>59</v>
      </c>
      <c r="L5" s="13">
        <v>45351</v>
      </c>
      <c r="M5" s="19" t="s">
        <v>79</v>
      </c>
      <c r="N5" s="19" t="s">
        <v>80</v>
      </c>
      <c r="O5" s="18">
        <v>1</v>
      </c>
      <c r="P5" s="18">
        <v>1</v>
      </c>
      <c r="Q5" s="18" t="s">
        <v>81</v>
      </c>
      <c r="R5" s="18">
        <v>8</v>
      </c>
      <c r="S5" s="18">
        <v>20</v>
      </c>
      <c r="T5" s="18" t="s">
        <v>63</v>
      </c>
      <c r="U5" s="14" t="s">
        <v>64</v>
      </c>
      <c r="V5" s="14"/>
      <c r="W5" s="14" t="s">
        <v>82</v>
      </c>
      <c r="X5" s="15"/>
      <c r="Y5" s="16">
        <v>45356</v>
      </c>
      <c r="Z5" s="19" t="s">
        <v>83</v>
      </c>
      <c r="AA5" s="18">
        <v>50</v>
      </c>
      <c r="AB5" s="17">
        <f t="shared" si="0"/>
        <v>4.9504950495049505</v>
      </c>
      <c r="AC5" s="17">
        <f t="shared" si="1"/>
        <v>45.049504950495049</v>
      </c>
      <c r="AD5" s="18">
        <v>2</v>
      </c>
      <c r="AE5" s="18">
        <v>2.04</v>
      </c>
      <c r="AF5" s="14" t="s">
        <v>66</v>
      </c>
      <c r="AG5" s="17">
        <f t="shared" si="2"/>
        <v>95.049504950495049</v>
      </c>
      <c r="AH5" s="18"/>
      <c r="AI5" s="145" t="s">
        <v>67</v>
      </c>
      <c r="AJ5" s="18"/>
      <c r="AK5" s="18">
        <v>1</v>
      </c>
      <c r="AL5" s="18"/>
      <c r="AM5" s="18"/>
      <c r="AN5" s="18" t="str">
        <f t="shared" si="3"/>
        <v>M1F1</v>
      </c>
      <c r="AO5" s="18"/>
      <c r="AP5" s="18"/>
      <c r="AQ5" s="15"/>
      <c r="AR5" s="18"/>
      <c r="AS5" s="18"/>
      <c r="AT5" s="18"/>
      <c r="AU5" s="18"/>
      <c r="AV5" s="15"/>
      <c r="AW5" s="18"/>
      <c r="AX5" s="18"/>
      <c r="AY5" s="18"/>
      <c r="AZ5" s="18"/>
      <c r="BA5" s="18"/>
    </row>
    <row r="6" spans="1:53" x14ac:dyDescent="0.25">
      <c r="A6" s="18" t="s">
        <v>84</v>
      </c>
      <c r="B6" s="18">
        <v>5</v>
      </c>
      <c r="C6" s="18">
        <v>1</v>
      </c>
      <c r="D6" s="18" t="s">
        <v>85</v>
      </c>
      <c r="E6" s="18" t="s">
        <v>55</v>
      </c>
      <c r="F6" s="18" t="s">
        <v>56</v>
      </c>
      <c r="G6" s="18" t="s">
        <v>55</v>
      </c>
      <c r="H6" s="18" t="s">
        <v>78</v>
      </c>
      <c r="I6" s="18">
        <v>2</v>
      </c>
      <c r="J6" s="18" t="s">
        <v>58</v>
      </c>
      <c r="K6" s="19" t="s">
        <v>59</v>
      </c>
      <c r="L6" s="13">
        <v>45351</v>
      </c>
      <c r="M6" s="19" t="s">
        <v>79</v>
      </c>
      <c r="N6" s="19" t="s">
        <v>80</v>
      </c>
      <c r="O6" s="18">
        <v>1</v>
      </c>
      <c r="P6" s="18">
        <v>1</v>
      </c>
      <c r="Q6" s="18" t="s">
        <v>86</v>
      </c>
      <c r="R6" s="18">
        <v>8</v>
      </c>
      <c r="S6" s="18">
        <v>20</v>
      </c>
      <c r="T6" s="18" t="s">
        <v>63</v>
      </c>
      <c r="U6" s="14" t="s">
        <v>64</v>
      </c>
      <c r="V6" s="14"/>
      <c r="W6" s="14" t="s">
        <v>82</v>
      </c>
      <c r="X6" s="15"/>
      <c r="Y6" s="16">
        <v>45356</v>
      </c>
      <c r="Z6" s="19" t="s">
        <v>87</v>
      </c>
      <c r="AA6" s="18">
        <v>50</v>
      </c>
      <c r="AB6" s="17">
        <f t="shared" si="0"/>
        <v>4.6296296296296298</v>
      </c>
      <c r="AC6" s="17">
        <f t="shared" si="1"/>
        <v>45.370370370370367</v>
      </c>
      <c r="AD6" s="18">
        <v>2</v>
      </c>
      <c r="AE6" s="18">
        <v>2.08</v>
      </c>
      <c r="AF6" s="14" t="s">
        <v>66</v>
      </c>
      <c r="AG6" s="17">
        <f t="shared" si="2"/>
        <v>95.370370370370367</v>
      </c>
      <c r="AH6" s="18"/>
      <c r="AI6" s="145" t="s">
        <v>67</v>
      </c>
      <c r="AJ6" s="18"/>
      <c r="AK6" s="18">
        <v>1</v>
      </c>
      <c r="AL6" s="18"/>
      <c r="AM6" s="18"/>
      <c r="AN6" s="18" t="str">
        <f t="shared" si="3"/>
        <v>M2F1</v>
      </c>
      <c r="AO6" s="18"/>
      <c r="AP6" s="18"/>
      <c r="AQ6" s="15"/>
      <c r="AR6" s="18"/>
      <c r="AS6" s="18"/>
      <c r="AT6" s="18"/>
      <c r="AU6" s="18"/>
      <c r="AV6" s="15"/>
      <c r="AW6" s="18"/>
      <c r="AX6" s="18"/>
      <c r="AY6" s="18"/>
      <c r="AZ6" s="18"/>
      <c r="BA6" s="18"/>
    </row>
    <row r="7" spans="1:53" x14ac:dyDescent="0.25">
      <c r="A7" s="18" t="s">
        <v>88</v>
      </c>
      <c r="B7" s="18">
        <v>6</v>
      </c>
      <c r="C7" s="18">
        <v>1</v>
      </c>
      <c r="D7" s="18" t="s">
        <v>89</v>
      </c>
      <c r="E7" s="18" t="s">
        <v>55</v>
      </c>
      <c r="F7" s="18" t="s">
        <v>56</v>
      </c>
      <c r="G7" s="18" t="s">
        <v>55</v>
      </c>
      <c r="H7" s="18" t="s">
        <v>78</v>
      </c>
      <c r="I7" s="18">
        <v>3</v>
      </c>
      <c r="J7" s="18" t="s">
        <v>58</v>
      </c>
      <c r="K7" s="19" t="s">
        <v>59</v>
      </c>
      <c r="L7" s="13">
        <v>45351</v>
      </c>
      <c r="M7" s="19" t="s">
        <v>79</v>
      </c>
      <c r="N7" s="19" t="s">
        <v>80</v>
      </c>
      <c r="O7" s="18">
        <v>1</v>
      </c>
      <c r="P7" s="18">
        <v>1</v>
      </c>
      <c r="Q7" s="18" t="s">
        <v>90</v>
      </c>
      <c r="R7" s="18">
        <v>7</v>
      </c>
      <c r="S7" s="18">
        <v>20</v>
      </c>
      <c r="T7" s="18" t="s">
        <v>63</v>
      </c>
      <c r="U7" s="14" t="s">
        <v>64</v>
      </c>
      <c r="V7" s="14"/>
      <c r="W7" s="14" t="s">
        <v>82</v>
      </c>
      <c r="X7" s="15"/>
      <c r="Y7" s="16">
        <v>45356</v>
      </c>
      <c r="Z7" s="19" t="s">
        <v>336</v>
      </c>
      <c r="AA7" s="18">
        <v>50</v>
      </c>
      <c r="AB7" s="17">
        <f t="shared" si="0"/>
        <v>6.8493150684931505</v>
      </c>
      <c r="AC7" s="17">
        <f t="shared" si="1"/>
        <v>43.150684931506852</v>
      </c>
      <c r="AD7" s="18">
        <v>2</v>
      </c>
      <c r="AE7" s="48">
        <v>2.7</v>
      </c>
      <c r="AF7" s="14" t="s">
        <v>66</v>
      </c>
      <c r="AG7" s="17">
        <f t="shared" si="2"/>
        <v>93.150684931506845</v>
      </c>
      <c r="AH7" s="18"/>
      <c r="AI7" s="145" t="s">
        <v>67</v>
      </c>
      <c r="AJ7" s="18"/>
      <c r="AK7" s="18">
        <v>1</v>
      </c>
      <c r="AL7" s="18"/>
      <c r="AM7" s="18"/>
      <c r="AN7" s="18" t="str">
        <f t="shared" si="3"/>
        <v>M3F1</v>
      </c>
      <c r="AO7" s="18"/>
      <c r="AP7" s="18"/>
      <c r="AQ7" s="15"/>
      <c r="AR7" s="18"/>
      <c r="AS7" s="18"/>
      <c r="AT7" s="18"/>
      <c r="AU7" s="18"/>
      <c r="AV7" s="15"/>
      <c r="AW7" s="18"/>
      <c r="AX7" s="18"/>
      <c r="AY7" s="18"/>
      <c r="AZ7" s="18"/>
      <c r="BA7" s="18"/>
    </row>
    <row r="8" spans="1:53" x14ac:dyDescent="0.25">
      <c r="A8" s="18" t="s">
        <v>91</v>
      </c>
      <c r="B8" s="18">
        <v>7</v>
      </c>
      <c r="C8" s="18">
        <v>1</v>
      </c>
      <c r="D8" s="18" t="s">
        <v>92</v>
      </c>
      <c r="E8" s="18" t="s">
        <v>55</v>
      </c>
      <c r="F8" s="18" t="s">
        <v>56</v>
      </c>
      <c r="G8" s="18" t="s">
        <v>55</v>
      </c>
      <c r="H8" s="18" t="s">
        <v>93</v>
      </c>
      <c r="I8" s="18">
        <v>1</v>
      </c>
      <c r="J8" s="18" t="s">
        <v>94</v>
      </c>
      <c r="K8" s="19" t="s">
        <v>95</v>
      </c>
      <c r="L8" s="13">
        <v>45350</v>
      </c>
      <c r="M8" s="19" t="s">
        <v>96</v>
      </c>
      <c r="N8" s="19" t="s">
        <v>97</v>
      </c>
      <c r="O8" s="18">
        <v>7</v>
      </c>
      <c r="P8" s="18">
        <v>9</v>
      </c>
      <c r="Q8" s="18" t="s">
        <v>98</v>
      </c>
      <c r="R8" s="18">
        <v>18</v>
      </c>
      <c r="S8" s="18">
        <v>20</v>
      </c>
      <c r="T8" s="18" t="s">
        <v>99</v>
      </c>
      <c r="U8" s="14" t="s">
        <v>64</v>
      </c>
      <c r="V8" s="14" t="s">
        <v>100</v>
      </c>
      <c r="W8" s="20"/>
      <c r="X8" s="15"/>
      <c r="Y8" s="16">
        <v>45355</v>
      </c>
      <c r="Z8" s="19" t="s">
        <v>337</v>
      </c>
      <c r="AA8" s="18">
        <v>50</v>
      </c>
      <c r="AB8" s="17">
        <f t="shared" si="0"/>
        <v>25.773195876288661</v>
      </c>
      <c r="AC8" s="17">
        <f t="shared" si="1"/>
        <v>24.226804123711339</v>
      </c>
      <c r="AD8" s="18">
        <v>2</v>
      </c>
      <c r="AE8" s="48">
        <v>2.94</v>
      </c>
      <c r="AF8" s="14" t="s">
        <v>102</v>
      </c>
      <c r="AG8" s="17">
        <f t="shared" si="2"/>
        <v>74.226804123711332</v>
      </c>
      <c r="AH8" s="18"/>
      <c r="AI8" s="145" t="s">
        <v>67</v>
      </c>
      <c r="AJ8" s="18"/>
      <c r="AK8" s="18">
        <v>1</v>
      </c>
      <c r="AL8" s="18"/>
      <c r="AM8" s="18"/>
      <c r="AN8" s="18" t="str">
        <f t="shared" si="3"/>
        <v>M1P1</v>
      </c>
      <c r="AO8" s="18"/>
      <c r="AP8" s="18"/>
      <c r="AQ8" s="15"/>
      <c r="AR8" s="18"/>
      <c r="AS8" s="18"/>
      <c r="AT8" s="18"/>
      <c r="AU8" s="18"/>
      <c r="AV8" s="15"/>
      <c r="AW8" s="18"/>
      <c r="AX8" s="18"/>
      <c r="AY8" s="18"/>
      <c r="AZ8" s="18"/>
      <c r="BA8" s="18"/>
    </row>
    <row r="9" spans="1:53" x14ac:dyDescent="0.25">
      <c r="A9" s="18" t="s">
        <v>103</v>
      </c>
      <c r="B9" s="18">
        <v>8</v>
      </c>
      <c r="C9" s="18">
        <v>1</v>
      </c>
      <c r="D9" s="18" t="s">
        <v>104</v>
      </c>
      <c r="E9" s="18" t="s">
        <v>55</v>
      </c>
      <c r="F9" s="18" t="s">
        <v>56</v>
      </c>
      <c r="G9" s="18" t="s">
        <v>55</v>
      </c>
      <c r="H9" s="18" t="s">
        <v>93</v>
      </c>
      <c r="I9" s="18">
        <v>2</v>
      </c>
      <c r="J9" s="18" t="s">
        <v>94</v>
      </c>
      <c r="K9" s="19" t="s">
        <v>95</v>
      </c>
      <c r="L9" s="13">
        <v>45350</v>
      </c>
      <c r="M9" s="19" t="s">
        <v>96</v>
      </c>
      <c r="N9" s="19" t="s">
        <v>97</v>
      </c>
      <c r="O9" s="18">
        <v>7</v>
      </c>
      <c r="P9" s="18">
        <v>9</v>
      </c>
      <c r="Q9" s="18" t="s">
        <v>105</v>
      </c>
      <c r="R9" s="18">
        <v>18</v>
      </c>
      <c r="S9" s="18">
        <v>20</v>
      </c>
      <c r="T9" s="18" t="s">
        <v>99</v>
      </c>
      <c r="U9" s="14" t="s">
        <v>64</v>
      </c>
      <c r="V9" s="14"/>
      <c r="X9" s="15"/>
      <c r="Y9" s="16">
        <v>45355</v>
      </c>
      <c r="Z9" s="19" t="s">
        <v>106</v>
      </c>
      <c r="AA9" s="18">
        <v>50</v>
      </c>
      <c r="AB9" s="17">
        <f t="shared" si="0"/>
        <v>26.881720430107524</v>
      </c>
      <c r="AC9" s="17">
        <f t="shared" si="1"/>
        <v>23.118279569892476</v>
      </c>
      <c r="AD9" s="18">
        <v>2</v>
      </c>
      <c r="AE9" s="18">
        <v>2.1800000000000002</v>
      </c>
      <c r="AF9" s="14" t="s">
        <v>102</v>
      </c>
      <c r="AG9" s="17">
        <f t="shared" si="2"/>
        <v>73.118279569892479</v>
      </c>
      <c r="AH9" s="18"/>
      <c r="AI9" s="145" t="s">
        <v>67</v>
      </c>
      <c r="AJ9" s="18"/>
      <c r="AK9" s="18">
        <v>1</v>
      </c>
      <c r="AL9" s="18"/>
      <c r="AM9" s="18"/>
      <c r="AN9" s="18" t="str">
        <f t="shared" si="3"/>
        <v>M2P1</v>
      </c>
      <c r="AO9" s="18"/>
      <c r="AP9" s="18"/>
      <c r="AQ9" s="15"/>
      <c r="AR9" s="18"/>
      <c r="AS9" s="18"/>
      <c r="AT9" s="18"/>
      <c r="AU9" s="18"/>
      <c r="AV9" s="15"/>
      <c r="AW9" s="18"/>
      <c r="AX9" s="18"/>
      <c r="AY9" s="18"/>
      <c r="AZ9" s="18"/>
      <c r="BA9" s="18"/>
    </row>
    <row r="10" spans="1:53" x14ac:dyDescent="0.25">
      <c r="A10" s="56" t="s">
        <v>107</v>
      </c>
      <c r="B10" s="18">
        <v>9</v>
      </c>
      <c r="C10" s="18">
        <v>1</v>
      </c>
      <c r="D10" s="56" t="s">
        <v>108</v>
      </c>
      <c r="E10" s="56" t="s">
        <v>55</v>
      </c>
      <c r="F10" s="56" t="s">
        <v>56</v>
      </c>
      <c r="G10" s="56" t="s">
        <v>55</v>
      </c>
      <c r="H10" s="56" t="s">
        <v>93</v>
      </c>
      <c r="I10" s="56">
        <v>3</v>
      </c>
      <c r="J10" s="56" t="s">
        <v>94</v>
      </c>
      <c r="K10" s="82" t="s">
        <v>95</v>
      </c>
      <c r="L10" s="146">
        <v>45350</v>
      </c>
      <c r="M10" s="82" t="s">
        <v>96</v>
      </c>
      <c r="N10" s="82" t="s">
        <v>97</v>
      </c>
      <c r="O10" s="56">
        <v>7</v>
      </c>
      <c r="P10" s="56">
        <v>9</v>
      </c>
      <c r="Q10" s="56" t="s">
        <v>109</v>
      </c>
      <c r="R10" s="56">
        <v>17</v>
      </c>
      <c r="S10" s="56">
        <v>20</v>
      </c>
      <c r="T10" s="56" t="s">
        <v>99</v>
      </c>
      <c r="U10" s="84" t="s">
        <v>64</v>
      </c>
      <c r="V10" s="84"/>
      <c r="W10" s="84"/>
      <c r="X10" s="85"/>
      <c r="Y10" s="83">
        <v>45355</v>
      </c>
      <c r="Z10" s="82" t="s">
        <v>110</v>
      </c>
      <c r="AA10" s="56">
        <v>50</v>
      </c>
      <c r="AB10" s="86">
        <f t="shared" si="0"/>
        <v>30.674846625766872</v>
      </c>
      <c r="AC10" s="86">
        <f t="shared" si="1"/>
        <v>19.325153374233128</v>
      </c>
      <c r="AD10" s="56">
        <v>2</v>
      </c>
      <c r="AE10" s="56">
        <v>2.14</v>
      </c>
      <c r="AF10" s="84" t="s">
        <v>102</v>
      </c>
      <c r="AG10" s="86">
        <f t="shared" si="2"/>
        <v>69.325153374233125</v>
      </c>
      <c r="AH10" s="56"/>
      <c r="AI10" s="21" t="s">
        <v>67</v>
      </c>
      <c r="AJ10" s="56"/>
      <c r="AK10" s="18">
        <v>1</v>
      </c>
      <c r="AL10" s="56"/>
      <c r="AM10" s="56"/>
      <c r="AN10" s="18" t="str">
        <f t="shared" si="3"/>
        <v>M3P1</v>
      </c>
      <c r="AO10" s="56"/>
      <c r="AP10" s="56"/>
      <c r="AQ10" s="85"/>
      <c r="AR10" s="56"/>
      <c r="AS10" s="56"/>
      <c r="AT10" s="56"/>
      <c r="AU10" s="56"/>
      <c r="AV10" s="85"/>
      <c r="AW10" s="56"/>
      <c r="AX10" s="56"/>
      <c r="AY10" s="56"/>
      <c r="AZ10" s="56"/>
      <c r="BA10" s="56"/>
    </row>
    <row r="11" spans="1:53" x14ac:dyDescent="0.25">
      <c r="A11" s="18" t="s">
        <v>111</v>
      </c>
      <c r="B11" s="18">
        <v>10</v>
      </c>
      <c r="C11" s="18">
        <v>1</v>
      </c>
      <c r="D11" s="18" t="s">
        <v>112</v>
      </c>
      <c r="E11" s="18" t="s">
        <v>55</v>
      </c>
      <c r="F11" s="18" t="s">
        <v>113</v>
      </c>
      <c r="G11" s="18" t="s">
        <v>114</v>
      </c>
      <c r="H11" s="18" t="s">
        <v>57</v>
      </c>
      <c r="I11" s="18">
        <v>1</v>
      </c>
      <c r="J11" s="18" t="s">
        <v>58</v>
      </c>
      <c r="K11" s="19" t="s">
        <v>59</v>
      </c>
      <c r="L11" s="13">
        <v>45352</v>
      </c>
      <c r="M11" s="19" t="s">
        <v>115</v>
      </c>
      <c r="N11" s="19" t="s">
        <v>116</v>
      </c>
      <c r="O11" s="18">
        <v>1</v>
      </c>
      <c r="P11" s="18">
        <v>1</v>
      </c>
      <c r="Q11" s="18" t="s">
        <v>117</v>
      </c>
      <c r="R11" s="18">
        <v>8</v>
      </c>
      <c r="S11" s="18">
        <v>20</v>
      </c>
      <c r="T11" s="18" t="s">
        <v>63</v>
      </c>
      <c r="U11" s="14" t="s">
        <v>118</v>
      </c>
      <c r="V11" s="14"/>
      <c r="W11" s="14"/>
      <c r="X11" s="15"/>
      <c r="Y11" s="16">
        <v>45356</v>
      </c>
      <c r="Z11" s="19" t="s">
        <v>119</v>
      </c>
      <c r="AA11" s="18">
        <v>50</v>
      </c>
      <c r="AB11" s="17">
        <f t="shared" si="0"/>
        <v>24.154589371980677</v>
      </c>
      <c r="AC11" s="17">
        <f t="shared" si="1"/>
        <v>25.845410628019323</v>
      </c>
      <c r="AD11" s="18">
        <v>2</v>
      </c>
      <c r="AE11" s="18">
        <v>1.83</v>
      </c>
      <c r="AF11" s="14" t="s">
        <v>102</v>
      </c>
      <c r="AG11" s="17">
        <f t="shared" si="2"/>
        <v>75.845410628019323</v>
      </c>
      <c r="AH11" s="18"/>
      <c r="AI11" s="145" t="s">
        <v>67</v>
      </c>
      <c r="AJ11" s="18"/>
      <c r="AK11" s="18">
        <v>1</v>
      </c>
      <c r="AL11" s="18"/>
      <c r="AM11" s="18"/>
      <c r="AN11" s="18" t="str">
        <f t="shared" si="3"/>
        <v>A1L1</v>
      </c>
      <c r="AO11" s="18"/>
      <c r="AP11" s="18"/>
      <c r="AQ11" s="15"/>
      <c r="AR11" s="18"/>
      <c r="AS11" s="18"/>
      <c r="AT11" s="18"/>
      <c r="AU11" s="18"/>
      <c r="AV11" s="15"/>
      <c r="AW11" s="18"/>
      <c r="AX11" s="18"/>
      <c r="AY11" s="18"/>
      <c r="AZ11" s="18"/>
      <c r="BA11" s="18"/>
    </row>
    <row r="12" spans="1:53" x14ac:dyDescent="0.25">
      <c r="A12" s="18" t="s">
        <v>120</v>
      </c>
      <c r="B12" s="18">
        <v>11</v>
      </c>
      <c r="C12" s="18">
        <v>1</v>
      </c>
      <c r="D12" s="18" t="s">
        <v>121</v>
      </c>
      <c r="E12" s="18" t="s">
        <v>55</v>
      </c>
      <c r="F12" s="18" t="s">
        <v>113</v>
      </c>
      <c r="G12" s="18" t="s">
        <v>114</v>
      </c>
      <c r="H12" s="18" t="s">
        <v>70</v>
      </c>
      <c r="I12" s="18">
        <v>2</v>
      </c>
      <c r="J12" s="18" t="s">
        <v>58</v>
      </c>
      <c r="K12" s="19" t="s">
        <v>59</v>
      </c>
      <c r="L12" s="13">
        <v>45352</v>
      </c>
      <c r="M12" s="19" t="s">
        <v>115</v>
      </c>
      <c r="N12" s="19" t="s">
        <v>116</v>
      </c>
      <c r="O12" s="18">
        <v>1</v>
      </c>
      <c r="P12" s="18">
        <v>1</v>
      </c>
      <c r="Q12" s="18" t="s">
        <v>122</v>
      </c>
      <c r="R12" s="18">
        <v>8</v>
      </c>
      <c r="S12" s="18">
        <v>20</v>
      </c>
      <c r="T12" s="18" t="s">
        <v>63</v>
      </c>
      <c r="U12" s="14" t="s">
        <v>118</v>
      </c>
      <c r="V12" s="14"/>
      <c r="W12" s="14"/>
      <c r="X12" s="15"/>
      <c r="Y12" s="16">
        <v>45356</v>
      </c>
      <c r="Z12" s="19" t="s">
        <v>123</v>
      </c>
      <c r="AA12" s="18">
        <v>50</v>
      </c>
      <c r="AB12" s="17">
        <f t="shared" si="0"/>
        <v>28.901734104046245</v>
      </c>
      <c r="AC12" s="17">
        <f t="shared" si="1"/>
        <v>21.098265895953755</v>
      </c>
      <c r="AD12" s="18">
        <v>2</v>
      </c>
      <c r="AE12" s="18">
        <v>1.94</v>
      </c>
      <c r="AF12" s="14" t="s">
        <v>102</v>
      </c>
      <c r="AG12" s="17">
        <f t="shared" si="2"/>
        <v>71.098265895953759</v>
      </c>
      <c r="AH12" s="18"/>
      <c r="AI12" s="145" t="s">
        <v>67</v>
      </c>
      <c r="AK12" s="18">
        <v>1</v>
      </c>
      <c r="AL12" s="18"/>
      <c r="AM12" s="18"/>
      <c r="AN12" s="18" t="str">
        <f t="shared" si="3"/>
        <v>A2L1</v>
      </c>
      <c r="AO12" s="18"/>
      <c r="AP12" s="18"/>
      <c r="AQ12" s="15"/>
      <c r="AR12" s="18"/>
      <c r="AS12" s="18"/>
      <c r="AT12" s="18"/>
      <c r="AU12" s="18"/>
      <c r="AV12" s="15"/>
      <c r="AW12" s="18"/>
      <c r="AX12" s="18"/>
      <c r="AY12" s="18"/>
      <c r="AZ12" s="18"/>
      <c r="BA12" s="18"/>
    </row>
    <row r="13" spans="1:53" x14ac:dyDescent="0.25">
      <c r="A13" s="18" t="s">
        <v>124</v>
      </c>
      <c r="B13" s="18">
        <v>12</v>
      </c>
      <c r="C13" s="18">
        <v>1</v>
      </c>
      <c r="D13" s="18" t="s">
        <v>125</v>
      </c>
      <c r="E13" s="18" t="s">
        <v>55</v>
      </c>
      <c r="F13" s="18" t="s">
        <v>113</v>
      </c>
      <c r="G13" s="18" t="s">
        <v>114</v>
      </c>
      <c r="H13" s="18" t="s">
        <v>70</v>
      </c>
      <c r="I13" s="18">
        <v>3</v>
      </c>
      <c r="J13" s="18" t="s">
        <v>58</v>
      </c>
      <c r="K13" s="19" t="s">
        <v>59</v>
      </c>
      <c r="L13" s="13">
        <v>45352</v>
      </c>
      <c r="M13" s="19" t="s">
        <v>115</v>
      </c>
      <c r="N13" s="19" t="s">
        <v>116</v>
      </c>
      <c r="O13" s="18">
        <v>1</v>
      </c>
      <c r="P13" s="18">
        <v>1</v>
      </c>
      <c r="Q13" s="18" t="s">
        <v>126</v>
      </c>
      <c r="R13" s="18">
        <v>7</v>
      </c>
      <c r="S13" s="18">
        <v>20</v>
      </c>
      <c r="T13" s="18" t="s">
        <v>63</v>
      </c>
      <c r="U13" s="14" t="s">
        <v>118</v>
      </c>
      <c r="V13" s="14"/>
      <c r="W13" s="14"/>
      <c r="X13" s="15"/>
      <c r="Y13" s="16">
        <v>45356</v>
      </c>
      <c r="Z13" s="19" t="s">
        <v>338</v>
      </c>
      <c r="AA13" s="18">
        <v>50</v>
      </c>
      <c r="AB13" s="17">
        <f t="shared" si="0"/>
        <v>21.459227467811157</v>
      </c>
      <c r="AC13" s="17">
        <f t="shared" si="1"/>
        <v>28.540772532188843</v>
      </c>
      <c r="AD13" s="18">
        <v>2</v>
      </c>
      <c r="AE13" s="49">
        <v>1.72</v>
      </c>
      <c r="AF13" s="14" t="s">
        <v>102</v>
      </c>
      <c r="AG13" s="17">
        <f t="shared" si="2"/>
        <v>78.540772532188839</v>
      </c>
      <c r="AH13" s="18"/>
      <c r="AI13" s="145" t="s">
        <v>67</v>
      </c>
      <c r="AJ13" s="18"/>
      <c r="AK13" s="18">
        <v>1</v>
      </c>
      <c r="AL13" s="18"/>
      <c r="AM13" s="18"/>
      <c r="AN13" s="18" t="str">
        <f t="shared" si="3"/>
        <v>A3L1</v>
      </c>
      <c r="AO13" s="18"/>
      <c r="AP13" s="18"/>
      <c r="AQ13" s="15"/>
      <c r="AR13" s="18"/>
      <c r="AS13" s="18"/>
      <c r="AT13" s="18"/>
      <c r="AU13" s="18"/>
      <c r="AV13" s="15"/>
      <c r="AW13" s="18"/>
      <c r="AX13" s="18"/>
      <c r="AY13" s="18"/>
      <c r="AZ13" s="18"/>
      <c r="BA13" s="18"/>
    </row>
    <row r="14" spans="1:53" x14ac:dyDescent="0.25">
      <c r="A14" s="18" t="s">
        <v>128</v>
      </c>
      <c r="B14" s="18">
        <v>13</v>
      </c>
      <c r="C14" s="18">
        <v>1</v>
      </c>
      <c r="D14" s="18" t="s">
        <v>129</v>
      </c>
      <c r="E14" s="18" t="s">
        <v>55</v>
      </c>
      <c r="F14" s="18" t="s">
        <v>113</v>
      </c>
      <c r="G14" s="18" t="s">
        <v>114</v>
      </c>
      <c r="H14" s="18" t="s">
        <v>78</v>
      </c>
      <c r="I14" s="18">
        <v>1</v>
      </c>
      <c r="J14" s="18" t="s">
        <v>58</v>
      </c>
      <c r="K14" s="19" t="s">
        <v>59</v>
      </c>
      <c r="L14" s="13">
        <v>45352</v>
      </c>
      <c r="M14" s="19" t="s">
        <v>130</v>
      </c>
      <c r="N14" s="19" t="s">
        <v>131</v>
      </c>
      <c r="O14" s="18">
        <v>1</v>
      </c>
      <c r="P14" s="18">
        <v>1</v>
      </c>
      <c r="Q14" s="18" t="s">
        <v>132</v>
      </c>
      <c r="R14" s="18">
        <v>8</v>
      </c>
      <c r="S14" s="18">
        <v>20</v>
      </c>
      <c r="T14" s="18" t="s">
        <v>63</v>
      </c>
      <c r="U14" s="14" t="s">
        <v>118</v>
      </c>
      <c r="V14" s="14" t="s">
        <v>133</v>
      </c>
      <c r="W14" s="20" t="s">
        <v>82</v>
      </c>
      <c r="X14" s="15"/>
      <c r="Y14" s="16">
        <v>45356</v>
      </c>
      <c r="Z14" s="19" t="s">
        <v>339</v>
      </c>
      <c r="AA14" s="18">
        <v>50</v>
      </c>
      <c r="AB14" s="17">
        <f t="shared" si="0"/>
        <v>6.4516129032258061</v>
      </c>
      <c r="AC14" s="17">
        <f t="shared" si="1"/>
        <v>43.548387096774192</v>
      </c>
      <c r="AD14" s="18">
        <v>2</v>
      </c>
      <c r="AE14" s="49">
        <v>1.69</v>
      </c>
      <c r="AF14" s="14" t="s">
        <v>102</v>
      </c>
      <c r="AG14" s="17">
        <f t="shared" si="2"/>
        <v>93.548387096774192</v>
      </c>
      <c r="AH14" s="18"/>
      <c r="AI14" s="145" t="s">
        <v>67</v>
      </c>
      <c r="AJ14" s="18"/>
      <c r="AK14" s="18">
        <v>1</v>
      </c>
      <c r="AL14" s="18"/>
      <c r="AM14" s="18"/>
      <c r="AN14" s="18" t="str">
        <f t="shared" si="3"/>
        <v>A1F1</v>
      </c>
      <c r="AO14" s="18"/>
      <c r="AP14" s="18"/>
      <c r="AQ14" s="15"/>
      <c r="AR14" s="18"/>
      <c r="AS14" s="18"/>
      <c r="AT14" s="18"/>
      <c r="AU14" s="18"/>
      <c r="AV14" s="15"/>
      <c r="AW14" s="18"/>
      <c r="AX14" s="18"/>
      <c r="AY14" s="18"/>
      <c r="AZ14" s="18"/>
      <c r="BA14" s="18"/>
    </row>
    <row r="15" spans="1:53" x14ac:dyDescent="0.25">
      <c r="A15" s="18" t="s">
        <v>135</v>
      </c>
      <c r="B15" s="18">
        <v>14</v>
      </c>
      <c r="C15" s="18">
        <v>1</v>
      </c>
      <c r="D15" s="18" t="s">
        <v>136</v>
      </c>
      <c r="E15" s="18" t="s">
        <v>55</v>
      </c>
      <c r="F15" s="18" t="s">
        <v>113</v>
      </c>
      <c r="G15" s="18" t="s">
        <v>114</v>
      </c>
      <c r="H15" s="18" t="s">
        <v>78</v>
      </c>
      <c r="I15" s="18">
        <v>2</v>
      </c>
      <c r="J15" s="18" t="s">
        <v>58</v>
      </c>
      <c r="K15" s="19" t="s">
        <v>59</v>
      </c>
      <c r="L15" s="13">
        <v>45352</v>
      </c>
      <c r="M15" s="19" t="s">
        <v>130</v>
      </c>
      <c r="N15" s="19" t="s">
        <v>131</v>
      </c>
      <c r="O15" s="18">
        <v>1</v>
      </c>
      <c r="P15" s="18">
        <v>1</v>
      </c>
      <c r="Q15" s="18" t="s">
        <v>137</v>
      </c>
      <c r="R15" s="18">
        <v>8</v>
      </c>
      <c r="S15" s="18">
        <v>20</v>
      </c>
      <c r="T15" s="18" t="s">
        <v>63</v>
      </c>
      <c r="U15" s="14" t="s">
        <v>118</v>
      </c>
      <c r="V15" s="14"/>
      <c r="W15" s="14" t="s">
        <v>138</v>
      </c>
      <c r="X15" s="15"/>
      <c r="Y15" s="16">
        <v>45356</v>
      </c>
      <c r="Z15" s="19" t="s">
        <v>139</v>
      </c>
      <c r="AA15" s="18">
        <v>50</v>
      </c>
      <c r="AB15" s="17">
        <f t="shared" si="0"/>
        <v>7.8125</v>
      </c>
      <c r="AC15" s="17">
        <f t="shared" si="1"/>
        <v>42.1875</v>
      </c>
      <c r="AD15" s="18">
        <v>2</v>
      </c>
      <c r="AE15" s="18">
        <v>1.92</v>
      </c>
      <c r="AF15" s="14" t="s">
        <v>102</v>
      </c>
      <c r="AG15" s="17">
        <f t="shared" si="2"/>
        <v>92.1875</v>
      </c>
      <c r="AH15" s="18"/>
      <c r="AI15" s="145" t="s">
        <v>67</v>
      </c>
      <c r="AJ15" s="18"/>
      <c r="AK15" s="18">
        <v>1</v>
      </c>
      <c r="AL15" s="18"/>
      <c r="AM15" s="18"/>
      <c r="AN15" s="18" t="str">
        <f t="shared" si="3"/>
        <v>A2F1</v>
      </c>
      <c r="AO15" s="18"/>
      <c r="AP15" s="18"/>
      <c r="AQ15" s="15"/>
      <c r="AR15" s="18"/>
      <c r="AS15" s="18"/>
      <c r="AT15" s="18"/>
      <c r="AU15" s="18"/>
      <c r="AV15" s="15"/>
      <c r="AW15" s="18"/>
      <c r="AX15" s="18"/>
      <c r="AY15" s="18"/>
      <c r="AZ15" s="18"/>
      <c r="BA15" s="18"/>
    </row>
    <row r="16" spans="1:53" x14ac:dyDescent="0.25">
      <c r="A16" s="18" t="s">
        <v>140</v>
      </c>
      <c r="B16" s="18">
        <v>15</v>
      </c>
      <c r="C16" s="18">
        <v>1</v>
      </c>
      <c r="D16" s="18" t="s">
        <v>141</v>
      </c>
      <c r="E16" s="18" t="s">
        <v>55</v>
      </c>
      <c r="F16" s="18" t="s">
        <v>113</v>
      </c>
      <c r="G16" s="18" t="s">
        <v>114</v>
      </c>
      <c r="H16" s="18" t="s">
        <v>78</v>
      </c>
      <c r="I16" s="18">
        <v>3</v>
      </c>
      <c r="J16" s="18" t="s">
        <v>58</v>
      </c>
      <c r="K16" s="19" t="s">
        <v>59</v>
      </c>
      <c r="L16" s="13">
        <v>45352</v>
      </c>
      <c r="M16" s="19" t="s">
        <v>130</v>
      </c>
      <c r="N16" s="19" t="s">
        <v>131</v>
      </c>
      <c r="O16" s="18">
        <v>1</v>
      </c>
      <c r="P16" s="18">
        <v>1</v>
      </c>
      <c r="Q16" s="18" t="s">
        <v>142</v>
      </c>
      <c r="R16" s="18">
        <v>8</v>
      </c>
      <c r="S16" s="18">
        <v>20</v>
      </c>
      <c r="T16" s="18" t="s">
        <v>63</v>
      </c>
      <c r="U16" s="14" t="s">
        <v>118</v>
      </c>
      <c r="V16" s="14"/>
      <c r="W16" s="14" t="s">
        <v>143</v>
      </c>
      <c r="X16" s="15"/>
      <c r="Y16" s="16">
        <v>45356</v>
      </c>
      <c r="Z16" s="19" t="s">
        <v>144</v>
      </c>
      <c r="AA16" s="18">
        <v>50</v>
      </c>
      <c r="AB16" s="17">
        <f t="shared" si="0"/>
        <v>12.468827930174564</v>
      </c>
      <c r="AC16" s="17">
        <f t="shared" si="1"/>
        <v>37.531172069825438</v>
      </c>
      <c r="AD16" s="18">
        <v>2</v>
      </c>
      <c r="AE16" s="18">
        <v>1.82</v>
      </c>
      <c r="AF16" s="14" t="s">
        <v>102</v>
      </c>
      <c r="AG16" s="17">
        <f t="shared" si="2"/>
        <v>87.531172069825431</v>
      </c>
      <c r="AH16" s="18"/>
      <c r="AI16" s="145" t="s">
        <v>67</v>
      </c>
      <c r="AJ16" s="18"/>
      <c r="AK16" s="18">
        <v>1</v>
      </c>
      <c r="AL16" s="18"/>
      <c r="AM16" s="18"/>
      <c r="AN16" s="18" t="str">
        <f t="shared" si="3"/>
        <v>A3F1</v>
      </c>
      <c r="AO16" s="18"/>
      <c r="AP16" s="18"/>
      <c r="AQ16" s="15"/>
      <c r="AR16" s="18"/>
      <c r="AS16" s="18"/>
      <c r="AT16" s="18"/>
      <c r="AU16" s="18"/>
      <c r="AV16" s="15"/>
      <c r="AW16" s="18"/>
      <c r="AX16" s="18"/>
      <c r="AY16" s="18"/>
      <c r="AZ16" s="18"/>
      <c r="BA16" s="18"/>
    </row>
    <row r="17" spans="1:53" x14ac:dyDescent="0.25">
      <c r="A17" s="18" t="s">
        <v>145</v>
      </c>
      <c r="B17" s="18">
        <v>16</v>
      </c>
      <c r="C17" s="18">
        <v>1</v>
      </c>
      <c r="D17" s="18" t="s">
        <v>146</v>
      </c>
      <c r="E17" s="18" t="s">
        <v>55</v>
      </c>
      <c r="F17" s="18" t="s">
        <v>113</v>
      </c>
      <c r="G17" s="18" t="s">
        <v>114</v>
      </c>
      <c r="H17" s="18" t="s">
        <v>93</v>
      </c>
      <c r="I17" s="18">
        <v>1</v>
      </c>
      <c r="J17" s="18" t="s">
        <v>58</v>
      </c>
      <c r="K17" s="19" t="s">
        <v>95</v>
      </c>
      <c r="L17" s="13">
        <v>45350</v>
      </c>
      <c r="M17" s="19" t="s">
        <v>147</v>
      </c>
      <c r="N17" s="19" t="s">
        <v>148</v>
      </c>
      <c r="O17" s="18">
        <v>5</v>
      </c>
      <c r="P17" s="18">
        <v>7</v>
      </c>
      <c r="Q17" s="18" t="s">
        <v>149</v>
      </c>
      <c r="R17" s="18">
        <v>17</v>
      </c>
      <c r="S17" s="18">
        <v>20</v>
      </c>
      <c r="T17" s="18" t="s">
        <v>99</v>
      </c>
      <c r="U17" s="14" t="s">
        <v>64</v>
      </c>
      <c r="V17" s="14"/>
      <c r="W17" s="14"/>
      <c r="X17" s="15"/>
      <c r="Y17" s="16">
        <v>45355</v>
      </c>
      <c r="Z17" s="19" t="s">
        <v>106</v>
      </c>
      <c r="AA17" s="18">
        <v>50</v>
      </c>
      <c r="AB17" s="17">
        <f t="shared" si="0"/>
        <v>26.881720430107524</v>
      </c>
      <c r="AC17" s="17">
        <f t="shared" si="1"/>
        <v>23.118279569892476</v>
      </c>
      <c r="AD17" s="18">
        <v>2</v>
      </c>
      <c r="AE17" s="48">
        <v>2.3199999999999998</v>
      </c>
      <c r="AF17" s="14" t="s">
        <v>102</v>
      </c>
      <c r="AG17" s="17">
        <f t="shared" si="2"/>
        <v>73.118279569892479</v>
      </c>
      <c r="AH17" s="18"/>
      <c r="AI17" s="145" t="s">
        <v>67</v>
      </c>
      <c r="AJ17" s="18"/>
      <c r="AK17" s="18">
        <v>1</v>
      </c>
      <c r="AL17" s="18"/>
      <c r="AM17" s="18"/>
      <c r="AN17" s="18" t="str">
        <f t="shared" si="3"/>
        <v>A1P1</v>
      </c>
      <c r="AO17" s="18"/>
      <c r="AP17" s="18"/>
      <c r="AQ17" s="15"/>
      <c r="AR17" s="18"/>
      <c r="AS17" s="18"/>
      <c r="AT17" s="18"/>
      <c r="AU17" s="18"/>
      <c r="AV17" s="15"/>
      <c r="AW17" s="18"/>
      <c r="AX17" s="18"/>
      <c r="AY17" s="18"/>
      <c r="AZ17" s="18"/>
      <c r="BA17" s="18"/>
    </row>
    <row r="18" spans="1:53" x14ac:dyDescent="0.25">
      <c r="A18" s="18" t="s">
        <v>150</v>
      </c>
      <c r="B18" s="18">
        <v>17</v>
      </c>
      <c r="C18" s="18">
        <v>1</v>
      </c>
      <c r="D18" s="18" t="s">
        <v>151</v>
      </c>
      <c r="E18" s="18" t="s">
        <v>55</v>
      </c>
      <c r="F18" s="18" t="s">
        <v>113</v>
      </c>
      <c r="G18" s="18" t="s">
        <v>114</v>
      </c>
      <c r="H18" s="18" t="s">
        <v>93</v>
      </c>
      <c r="I18" s="18">
        <v>2</v>
      </c>
      <c r="J18" s="18" t="s">
        <v>94</v>
      </c>
      <c r="K18" s="19" t="s">
        <v>95</v>
      </c>
      <c r="L18" s="13">
        <v>45350</v>
      </c>
      <c r="M18" s="19" t="s">
        <v>147</v>
      </c>
      <c r="N18" s="19" t="s">
        <v>148</v>
      </c>
      <c r="O18" s="18">
        <v>5</v>
      </c>
      <c r="P18" s="18">
        <v>7</v>
      </c>
      <c r="Q18" s="18" t="s">
        <v>152</v>
      </c>
      <c r="R18" s="18">
        <v>17</v>
      </c>
      <c r="S18" s="18">
        <v>20</v>
      </c>
      <c r="T18" s="18" t="s">
        <v>99</v>
      </c>
      <c r="U18" s="14" t="s">
        <v>64</v>
      </c>
      <c r="V18" s="14"/>
      <c r="W18" s="14"/>
      <c r="X18" s="15"/>
      <c r="Y18" s="16">
        <v>45355</v>
      </c>
      <c r="Z18" s="19" t="s">
        <v>153</v>
      </c>
      <c r="AA18" s="18">
        <v>50</v>
      </c>
      <c r="AB18" s="17">
        <f t="shared" si="0"/>
        <v>19.45525291828794</v>
      </c>
      <c r="AC18" s="17">
        <f t="shared" si="1"/>
        <v>30.54474708171206</v>
      </c>
      <c r="AD18" s="18">
        <v>2</v>
      </c>
      <c r="AE18" s="18">
        <v>1.96</v>
      </c>
      <c r="AF18" s="14" t="s">
        <v>102</v>
      </c>
      <c r="AG18" s="17">
        <f t="shared" si="2"/>
        <v>80.54474708171206</v>
      </c>
      <c r="AH18" s="18"/>
      <c r="AI18" s="145" t="s">
        <v>67</v>
      </c>
      <c r="AJ18" s="18"/>
      <c r="AK18" s="18">
        <v>1</v>
      </c>
      <c r="AL18" s="18"/>
      <c r="AM18" s="18"/>
      <c r="AN18" s="18" t="str">
        <f t="shared" si="3"/>
        <v>A2P1</v>
      </c>
      <c r="AO18" s="18"/>
      <c r="AP18" s="18"/>
      <c r="AQ18" s="15"/>
      <c r="AR18" s="18"/>
      <c r="AS18" s="18"/>
      <c r="AT18" s="18"/>
      <c r="AU18" s="18"/>
      <c r="AV18" s="15"/>
      <c r="AW18" s="18"/>
      <c r="AX18" s="18"/>
      <c r="AY18" s="18"/>
      <c r="AZ18" s="18"/>
      <c r="BA18" s="18"/>
    </row>
    <row r="19" spans="1:53" x14ac:dyDescent="0.25">
      <c r="A19" s="18" t="s">
        <v>154</v>
      </c>
      <c r="B19" s="18">
        <v>18</v>
      </c>
      <c r="C19" s="18">
        <v>1</v>
      </c>
      <c r="D19" s="18" t="s">
        <v>155</v>
      </c>
      <c r="E19" s="18" t="s">
        <v>55</v>
      </c>
      <c r="F19" s="18" t="s">
        <v>113</v>
      </c>
      <c r="G19" s="18" t="s">
        <v>114</v>
      </c>
      <c r="H19" s="18" t="s">
        <v>93</v>
      </c>
      <c r="I19" s="18">
        <v>3</v>
      </c>
      <c r="J19" s="18" t="s">
        <v>94</v>
      </c>
      <c r="K19" s="19" t="s">
        <v>95</v>
      </c>
      <c r="L19" s="13">
        <v>45350</v>
      </c>
      <c r="M19" s="19" t="s">
        <v>147</v>
      </c>
      <c r="N19" s="19" t="s">
        <v>148</v>
      </c>
      <c r="O19" s="18">
        <v>5</v>
      </c>
      <c r="P19" s="18">
        <v>7</v>
      </c>
      <c r="Q19" s="18" t="s">
        <v>156</v>
      </c>
      <c r="R19" s="18">
        <v>17</v>
      </c>
      <c r="S19" s="18">
        <v>20</v>
      </c>
      <c r="T19" s="18" t="s">
        <v>99</v>
      </c>
      <c r="U19" s="14" t="s">
        <v>64</v>
      </c>
      <c r="V19" s="14"/>
      <c r="W19" s="14"/>
      <c r="X19" s="15"/>
      <c r="Y19" s="16">
        <v>45355</v>
      </c>
      <c r="Z19" s="19" t="s">
        <v>340</v>
      </c>
      <c r="AA19" s="18">
        <v>50</v>
      </c>
      <c r="AB19" s="17">
        <f t="shared" si="0"/>
        <v>7.2992700729927007</v>
      </c>
      <c r="AC19" s="17">
        <f t="shared" si="1"/>
        <v>42.700729927007302</v>
      </c>
      <c r="AD19" s="18">
        <v>2</v>
      </c>
      <c r="AE19" s="49">
        <v>1.67</v>
      </c>
      <c r="AF19" s="14" t="s">
        <v>102</v>
      </c>
      <c r="AG19" s="17">
        <f t="shared" si="2"/>
        <v>92.700729927007302</v>
      </c>
      <c r="AH19" s="18"/>
      <c r="AI19" s="145" t="s">
        <v>67</v>
      </c>
      <c r="AJ19" s="18"/>
      <c r="AK19" s="18">
        <v>1</v>
      </c>
      <c r="AL19" s="18"/>
      <c r="AM19" s="18"/>
      <c r="AN19" s="18" t="str">
        <f t="shared" si="3"/>
        <v>A3P1</v>
      </c>
      <c r="AO19" s="18"/>
      <c r="AP19" s="18"/>
      <c r="AQ19" s="15"/>
      <c r="AR19" s="18"/>
      <c r="AS19" s="18"/>
      <c r="AT19" s="18"/>
      <c r="AU19" s="18"/>
      <c r="AV19" s="15"/>
      <c r="AW19" s="18"/>
      <c r="AX19" s="18"/>
      <c r="AY19" s="18"/>
      <c r="AZ19" s="18"/>
      <c r="BA19" s="18"/>
    </row>
    <row r="20" spans="1:53" x14ac:dyDescent="0.25">
      <c r="A20" s="28" t="s">
        <v>157</v>
      </c>
      <c r="B20" s="18">
        <v>19</v>
      </c>
      <c r="C20" s="18">
        <v>1</v>
      </c>
      <c r="D20" s="28" t="s">
        <v>158</v>
      </c>
      <c r="E20" s="28" t="s">
        <v>55</v>
      </c>
      <c r="F20" s="28" t="s">
        <v>113</v>
      </c>
      <c r="G20" s="28" t="s">
        <v>114</v>
      </c>
      <c r="H20" s="28" t="s">
        <v>93</v>
      </c>
      <c r="I20" s="28" t="s">
        <v>159</v>
      </c>
      <c r="J20" s="28" t="s">
        <v>58</v>
      </c>
      <c r="K20" s="22" t="s">
        <v>95</v>
      </c>
      <c r="L20" s="23">
        <v>45350</v>
      </c>
      <c r="M20" s="22" t="s">
        <v>147</v>
      </c>
      <c r="N20" s="22" t="s">
        <v>148</v>
      </c>
      <c r="O20" s="28"/>
      <c r="P20" s="28"/>
      <c r="Q20" s="28" t="s">
        <v>160</v>
      </c>
      <c r="R20" s="28"/>
      <c r="S20" s="28">
        <v>1.5</v>
      </c>
      <c r="T20" s="56" t="s">
        <v>99</v>
      </c>
      <c r="U20" s="24" t="s">
        <v>64</v>
      </c>
      <c r="V20" s="24"/>
      <c r="W20" s="24"/>
      <c r="X20" s="25"/>
      <c r="Y20" s="26">
        <v>45355</v>
      </c>
      <c r="Z20" s="22" t="s">
        <v>161</v>
      </c>
      <c r="AA20" s="28">
        <v>50</v>
      </c>
      <c r="AB20" s="27">
        <v>20</v>
      </c>
      <c r="AC20" s="27">
        <v>0</v>
      </c>
      <c r="AD20" s="28">
        <v>2</v>
      </c>
      <c r="AE20" s="28">
        <v>0.64400000000000002</v>
      </c>
      <c r="AF20" s="29" t="s">
        <v>102</v>
      </c>
      <c r="AG20" s="28">
        <v>60</v>
      </c>
      <c r="AH20" s="28"/>
      <c r="AI20" s="25" t="s">
        <v>67</v>
      </c>
      <c r="AJ20" s="28"/>
      <c r="AK20" s="18">
        <v>1</v>
      </c>
      <c r="AL20" s="28"/>
      <c r="AM20" s="28"/>
      <c r="AN20" s="18" t="str">
        <f t="shared" si="3"/>
        <v>ABP1</v>
      </c>
      <c r="AO20" s="28"/>
      <c r="AP20" s="28"/>
      <c r="AQ20" s="25"/>
      <c r="AR20" s="28"/>
      <c r="AS20" s="28"/>
      <c r="AT20" s="28"/>
      <c r="AU20" s="28"/>
      <c r="AV20" s="25"/>
      <c r="AW20" s="28"/>
      <c r="AX20" s="28"/>
      <c r="AY20" s="28"/>
      <c r="AZ20" s="28"/>
      <c r="BA20" s="28"/>
    </row>
    <row r="21" spans="1:53" x14ac:dyDescent="0.25">
      <c r="A21" s="18" t="s">
        <v>162</v>
      </c>
      <c r="B21" s="18">
        <v>20</v>
      </c>
      <c r="C21" s="18">
        <v>1</v>
      </c>
      <c r="D21" s="18" t="s">
        <v>163</v>
      </c>
      <c r="E21" s="18" t="s">
        <v>55</v>
      </c>
      <c r="F21" s="18" t="s">
        <v>164</v>
      </c>
      <c r="G21" s="18" t="s">
        <v>55</v>
      </c>
      <c r="H21" s="18" t="s">
        <v>57</v>
      </c>
      <c r="I21" s="18">
        <v>1</v>
      </c>
      <c r="J21" s="18" t="s">
        <v>165</v>
      </c>
      <c r="K21" s="19" t="s">
        <v>59</v>
      </c>
      <c r="L21" s="13">
        <v>45348</v>
      </c>
      <c r="M21" s="19" t="s">
        <v>166</v>
      </c>
      <c r="N21" s="19" t="s">
        <v>167</v>
      </c>
      <c r="O21" s="18">
        <v>1</v>
      </c>
      <c r="P21" s="18">
        <v>1</v>
      </c>
      <c r="Q21" s="18" t="s">
        <v>152</v>
      </c>
      <c r="R21" s="18">
        <v>8</v>
      </c>
      <c r="S21" s="18">
        <v>20</v>
      </c>
      <c r="T21" s="18" t="s">
        <v>99</v>
      </c>
      <c r="U21" s="14" t="s">
        <v>64</v>
      </c>
      <c r="V21" s="14" t="s">
        <v>168</v>
      </c>
      <c r="X21" s="15"/>
      <c r="Y21" s="16">
        <v>45349</v>
      </c>
      <c r="Z21" s="19" t="s">
        <v>169</v>
      </c>
      <c r="AA21" s="18">
        <v>50</v>
      </c>
      <c r="AB21" s="17">
        <f t="shared" ref="AB21:AB29" si="4">AA21*AD21/Z21</f>
        <v>9.0909090909090917</v>
      </c>
      <c r="AC21" s="17">
        <f t="shared" ref="AC21:AC29" si="5">AA21-AB21</f>
        <v>40.909090909090907</v>
      </c>
      <c r="AD21" s="18">
        <v>2</v>
      </c>
      <c r="AE21" s="18">
        <v>1.81</v>
      </c>
      <c r="AF21" s="14" t="s">
        <v>102</v>
      </c>
      <c r="AG21" s="17">
        <f t="shared" ref="AG21:AG29" si="6">100-AB21</f>
        <v>90.909090909090907</v>
      </c>
      <c r="AH21" s="18"/>
      <c r="AI21" s="145" t="s">
        <v>67</v>
      </c>
      <c r="AJ21" s="18"/>
      <c r="AK21" s="18">
        <v>1</v>
      </c>
      <c r="AL21" s="18"/>
      <c r="AM21" s="18"/>
      <c r="AN21" s="18" t="str">
        <f t="shared" si="3"/>
        <v>P1L1</v>
      </c>
      <c r="AO21" s="18"/>
      <c r="AP21" s="18"/>
      <c r="AQ21" s="15"/>
      <c r="AR21" s="18"/>
      <c r="AS21" s="18"/>
      <c r="AT21" s="18"/>
      <c r="AU21" s="18"/>
      <c r="AV21" s="15"/>
      <c r="AW21" s="18"/>
      <c r="AX21" s="18"/>
      <c r="AY21" s="18"/>
      <c r="AZ21" s="18"/>
      <c r="BA21" s="18"/>
    </row>
    <row r="22" spans="1:53" x14ac:dyDescent="0.25">
      <c r="A22" s="18" t="s">
        <v>170</v>
      </c>
      <c r="B22" s="18">
        <v>21</v>
      </c>
      <c r="C22" s="18">
        <v>1</v>
      </c>
      <c r="D22" s="18" t="s">
        <v>171</v>
      </c>
      <c r="E22" s="18" t="s">
        <v>55</v>
      </c>
      <c r="F22" s="18" t="s">
        <v>164</v>
      </c>
      <c r="G22" s="18" t="s">
        <v>55</v>
      </c>
      <c r="H22" s="18" t="s">
        <v>70</v>
      </c>
      <c r="I22" s="18">
        <v>2</v>
      </c>
      <c r="J22" s="18" t="s">
        <v>165</v>
      </c>
      <c r="K22" s="19" t="s">
        <v>59</v>
      </c>
      <c r="L22" s="13">
        <v>45348</v>
      </c>
      <c r="M22" s="19" t="s">
        <v>166</v>
      </c>
      <c r="N22" s="19" t="s">
        <v>167</v>
      </c>
      <c r="O22" s="18">
        <v>1</v>
      </c>
      <c r="P22" s="18">
        <v>1</v>
      </c>
      <c r="Q22" s="18" t="s">
        <v>172</v>
      </c>
      <c r="R22" s="18">
        <v>8</v>
      </c>
      <c r="S22" s="18">
        <v>20</v>
      </c>
      <c r="T22" s="18" t="s">
        <v>99</v>
      </c>
      <c r="U22" s="14" t="s">
        <v>64</v>
      </c>
      <c r="V22" s="14"/>
      <c r="X22" s="15"/>
      <c r="Y22" s="16">
        <v>45349</v>
      </c>
      <c r="Z22" s="19" t="s">
        <v>173</v>
      </c>
      <c r="AA22" s="18">
        <v>50</v>
      </c>
      <c r="AB22" s="17">
        <f t="shared" si="4"/>
        <v>4.7619047619047619</v>
      </c>
      <c r="AC22" s="17">
        <f t="shared" si="5"/>
        <v>45.238095238095241</v>
      </c>
      <c r="AD22" s="18">
        <v>2</v>
      </c>
      <c r="AE22" s="18">
        <v>2.06</v>
      </c>
      <c r="AF22" s="14" t="s">
        <v>102</v>
      </c>
      <c r="AG22" s="17">
        <f t="shared" si="6"/>
        <v>95.238095238095241</v>
      </c>
      <c r="AH22" s="18"/>
      <c r="AI22" s="145" t="s">
        <v>67</v>
      </c>
      <c r="AJ22" s="18"/>
      <c r="AK22" s="18">
        <v>1</v>
      </c>
      <c r="AL22" s="18"/>
      <c r="AM22" s="18"/>
      <c r="AN22" s="18" t="str">
        <f t="shared" si="3"/>
        <v>P2L1</v>
      </c>
      <c r="AO22" s="18"/>
      <c r="AP22" s="18"/>
      <c r="AQ22" s="15"/>
      <c r="AR22" s="18"/>
      <c r="AS22" s="18"/>
      <c r="AT22" s="18"/>
      <c r="AU22" s="18"/>
      <c r="AV22" s="15"/>
      <c r="AW22" s="18"/>
      <c r="AX22" s="18"/>
      <c r="AY22" s="18"/>
      <c r="AZ22" s="18"/>
      <c r="BA22" s="18"/>
    </row>
    <row r="23" spans="1:53" x14ac:dyDescent="0.25">
      <c r="A23" s="18" t="s">
        <v>174</v>
      </c>
      <c r="B23" s="18">
        <v>22</v>
      </c>
      <c r="C23" s="18">
        <v>1</v>
      </c>
      <c r="D23" s="18" t="s">
        <v>175</v>
      </c>
      <c r="E23" s="18" t="s">
        <v>55</v>
      </c>
      <c r="F23" s="18" t="s">
        <v>164</v>
      </c>
      <c r="G23" s="18" t="s">
        <v>55</v>
      </c>
      <c r="H23" s="18" t="s">
        <v>70</v>
      </c>
      <c r="I23" s="18">
        <v>3</v>
      </c>
      <c r="J23" s="18" t="s">
        <v>165</v>
      </c>
      <c r="K23" s="19" t="s">
        <v>59</v>
      </c>
      <c r="L23" s="13">
        <v>45348</v>
      </c>
      <c r="M23" s="19" t="s">
        <v>166</v>
      </c>
      <c r="N23" s="19" t="s">
        <v>167</v>
      </c>
      <c r="O23" s="18">
        <v>1</v>
      </c>
      <c r="P23" s="18">
        <v>1</v>
      </c>
      <c r="Q23" s="18" t="s">
        <v>176</v>
      </c>
      <c r="R23" s="18">
        <v>8</v>
      </c>
      <c r="S23" s="18">
        <v>20</v>
      </c>
      <c r="T23" s="18" t="s">
        <v>99</v>
      </c>
      <c r="U23" s="14" t="s">
        <v>64</v>
      </c>
      <c r="V23" s="14"/>
      <c r="W23" s="14"/>
      <c r="X23" s="15"/>
      <c r="Y23" s="16">
        <v>45349</v>
      </c>
      <c r="Z23" s="19" t="s">
        <v>177</v>
      </c>
      <c r="AA23" s="18">
        <v>50</v>
      </c>
      <c r="AB23" s="17">
        <f t="shared" si="4"/>
        <v>5.882352941176471</v>
      </c>
      <c r="AC23" s="17">
        <f t="shared" si="5"/>
        <v>44.117647058823529</v>
      </c>
      <c r="AD23" s="18">
        <v>2</v>
      </c>
      <c r="AE23" s="18">
        <v>1.8</v>
      </c>
      <c r="AF23" s="14" t="s">
        <v>102</v>
      </c>
      <c r="AG23" s="17">
        <f t="shared" si="6"/>
        <v>94.117647058823536</v>
      </c>
      <c r="AH23" s="18"/>
      <c r="AI23" s="145" t="s">
        <v>67</v>
      </c>
      <c r="AJ23" s="18"/>
      <c r="AK23" s="18">
        <v>1</v>
      </c>
      <c r="AL23" s="18"/>
      <c r="AM23" s="18"/>
      <c r="AN23" s="18" t="str">
        <f t="shared" si="3"/>
        <v>P3L1</v>
      </c>
      <c r="AO23" s="18"/>
      <c r="AP23" s="18"/>
      <c r="AQ23" s="15"/>
      <c r="AR23" s="18"/>
      <c r="AS23" s="18"/>
      <c r="AT23" s="18"/>
      <c r="AU23" s="18"/>
      <c r="AV23" s="15"/>
      <c r="AW23" s="18"/>
      <c r="AX23" s="18"/>
      <c r="AY23" s="18"/>
      <c r="AZ23" s="18"/>
      <c r="BA23" s="18"/>
    </row>
    <row r="24" spans="1:53" x14ac:dyDescent="0.25">
      <c r="A24" s="18" t="s">
        <v>178</v>
      </c>
      <c r="B24" s="18">
        <v>23</v>
      </c>
      <c r="C24" s="18">
        <v>1</v>
      </c>
      <c r="D24" s="18" t="s">
        <v>179</v>
      </c>
      <c r="E24" s="18" t="s">
        <v>55</v>
      </c>
      <c r="F24" s="18" t="s">
        <v>164</v>
      </c>
      <c r="G24" s="18" t="s">
        <v>55</v>
      </c>
      <c r="H24" s="18" t="s">
        <v>78</v>
      </c>
      <c r="I24" s="18">
        <v>1</v>
      </c>
      <c r="J24" s="18" t="s">
        <v>165</v>
      </c>
      <c r="K24" s="19" t="s">
        <v>59</v>
      </c>
      <c r="L24" s="13">
        <v>45348</v>
      </c>
      <c r="M24" s="19" t="s">
        <v>180</v>
      </c>
      <c r="N24" s="19" t="s">
        <v>181</v>
      </c>
      <c r="O24" s="18">
        <v>1</v>
      </c>
      <c r="P24" s="18">
        <v>1</v>
      </c>
      <c r="Q24" s="18" t="s">
        <v>182</v>
      </c>
      <c r="R24" s="18">
        <v>8</v>
      </c>
      <c r="S24" s="18">
        <v>20</v>
      </c>
      <c r="T24" s="18" t="s">
        <v>99</v>
      </c>
      <c r="U24" s="14" t="s">
        <v>64</v>
      </c>
      <c r="V24" s="14" t="s">
        <v>183</v>
      </c>
      <c r="W24" s="14"/>
      <c r="X24" s="15"/>
      <c r="Y24" s="16">
        <v>45349</v>
      </c>
      <c r="Z24" s="19" t="s">
        <v>341</v>
      </c>
      <c r="AA24" s="18">
        <v>50</v>
      </c>
      <c r="AB24" s="17">
        <f t="shared" si="4"/>
        <v>6.0975609756097562</v>
      </c>
      <c r="AC24" s="17">
        <f t="shared" si="5"/>
        <v>43.902439024390247</v>
      </c>
      <c r="AD24" s="18">
        <v>2</v>
      </c>
      <c r="AE24" s="49">
        <v>1.7</v>
      </c>
      <c r="AF24" s="14" t="s">
        <v>102</v>
      </c>
      <c r="AG24" s="17">
        <f t="shared" si="6"/>
        <v>93.902439024390247</v>
      </c>
      <c r="AH24" s="18"/>
      <c r="AI24" s="145" t="s">
        <v>67</v>
      </c>
      <c r="AJ24" s="18"/>
      <c r="AK24" s="18">
        <v>1</v>
      </c>
      <c r="AL24" s="18"/>
      <c r="AM24" s="18"/>
      <c r="AN24" s="18" t="str">
        <f t="shared" si="3"/>
        <v>P1F1</v>
      </c>
      <c r="AO24" s="18"/>
      <c r="AP24" s="18"/>
      <c r="AQ24" s="15"/>
      <c r="AR24" s="18"/>
      <c r="AS24" s="18"/>
      <c r="AT24" s="18"/>
      <c r="AU24" s="18"/>
      <c r="AV24" s="15"/>
      <c r="AW24" s="18"/>
      <c r="AX24" s="18"/>
      <c r="AY24" s="18"/>
      <c r="AZ24" s="18"/>
      <c r="BA24" s="18"/>
    </row>
    <row r="25" spans="1:53" x14ac:dyDescent="0.25">
      <c r="A25" s="18" t="s">
        <v>184</v>
      </c>
      <c r="B25" s="18">
        <v>24</v>
      </c>
      <c r="C25" s="18">
        <v>1</v>
      </c>
      <c r="D25" s="18" t="s">
        <v>185</v>
      </c>
      <c r="E25" s="18" t="s">
        <v>55</v>
      </c>
      <c r="F25" s="18" t="s">
        <v>164</v>
      </c>
      <c r="G25" s="18" t="s">
        <v>55</v>
      </c>
      <c r="H25" s="18" t="s">
        <v>78</v>
      </c>
      <c r="I25" s="18">
        <v>2</v>
      </c>
      <c r="J25" s="18" t="s">
        <v>165</v>
      </c>
      <c r="K25" s="19" t="s">
        <v>59</v>
      </c>
      <c r="L25" s="13">
        <v>45348</v>
      </c>
      <c r="M25" s="19" t="s">
        <v>180</v>
      </c>
      <c r="N25" s="19" t="s">
        <v>181</v>
      </c>
      <c r="O25" s="18">
        <v>1</v>
      </c>
      <c r="P25" s="18">
        <v>1</v>
      </c>
      <c r="Q25" s="18" t="s">
        <v>186</v>
      </c>
      <c r="R25" s="18">
        <v>8</v>
      </c>
      <c r="S25" s="18">
        <v>20</v>
      </c>
      <c r="T25" s="18" t="s">
        <v>99</v>
      </c>
      <c r="U25" s="14" t="s">
        <v>64</v>
      </c>
      <c r="V25" s="14"/>
      <c r="W25" s="14"/>
      <c r="X25" s="15"/>
      <c r="Y25" s="16">
        <v>45349</v>
      </c>
      <c r="Z25" s="19" t="s">
        <v>187</v>
      </c>
      <c r="AA25" s="18">
        <v>50</v>
      </c>
      <c r="AB25" s="17">
        <f t="shared" si="4"/>
        <v>5</v>
      </c>
      <c r="AC25" s="17">
        <f t="shared" si="5"/>
        <v>45</v>
      </c>
      <c r="AD25" s="18">
        <v>2</v>
      </c>
      <c r="AE25" s="18">
        <v>1.81</v>
      </c>
      <c r="AF25" s="14" t="s">
        <v>102</v>
      </c>
      <c r="AG25" s="17">
        <f t="shared" si="6"/>
        <v>95</v>
      </c>
      <c r="AH25" s="18"/>
      <c r="AI25" s="145" t="s">
        <v>67</v>
      </c>
      <c r="AJ25" s="18"/>
      <c r="AK25" s="18">
        <v>1</v>
      </c>
      <c r="AL25" s="18"/>
      <c r="AM25" s="18"/>
      <c r="AN25" s="18" t="str">
        <f t="shared" si="3"/>
        <v>P2F1</v>
      </c>
      <c r="AO25" s="18"/>
      <c r="AP25" s="18"/>
      <c r="AQ25" s="15"/>
      <c r="AR25" s="18"/>
      <c r="AS25" s="18"/>
      <c r="AT25" s="18"/>
      <c r="AU25" s="18"/>
      <c r="AV25" s="15"/>
      <c r="AW25" s="18"/>
      <c r="AX25" s="18"/>
      <c r="AY25" s="18"/>
      <c r="AZ25" s="18"/>
      <c r="BA25" s="18"/>
    </row>
    <row r="26" spans="1:53" x14ac:dyDescent="0.25">
      <c r="A26" s="18" t="s">
        <v>188</v>
      </c>
      <c r="B26" s="18">
        <v>25</v>
      </c>
      <c r="C26" s="18">
        <v>1</v>
      </c>
      <c r="D26" s="18" t="s">
        <v>189</v>
      </c>
      <c r="E26" s="18" t="s">
        <v>55</v>
      </c>
      <c r="F26" s="18" t="s">
        <v>164</v>
      </c>
      <c r="G26" s="18" t="s">
        <v>55</v>
      </c>
      <c r="H26" s="18" t="s">
        <v>78</v>
      </c>
      <c r="I26" s="18">
        <v>3</v>
      </c>
      <c r="J26" s="18" t="s">
        <v>165</v>
      </c>
      <c r="K26" s="19" t="s">
        <v>59</v>
      </c>
      <c r="L26" s="13">
        <v>45348</v>
      </c>
      <c r="M26" s="19" t="s">
        <v>180</v>
      </c>
      <c r="N26" s="19" t="s">
        <v>181</v>
      </c>
      <c r="O26" s="18">
        <v>1</v>
      </c>
      <c r="P26" s="18">
        <v>1</v>
      </c>
      <c r="Q26" s="18" t="s">
        <v>190</v>
      </c>
      <c r="R26" s="18">
        <v>8</v>
      </c>
      <c r="S26" s="18">
        <v>20</v>
      </c>
      <c r="T26" s="18" t="s">
        <v>99</v>
      </c>
      <c r="U26" s="14" t="s">
        <v>64</v>
      </c>
      <c r="V26" s="14" t="s">
        <v>183</v>
      </c>
      <c r="W26" s="14"/>
      <c r="X26" s="15"/>
      <c r="Y26" s="16">
        <v>45349</v>
      </c>
      <c r="Z26" s="19" t="s">
        <v>250</v>
      </c>
      <c r="AA26" s="18">
        <v>50</v>
      </c>
      <c r="AB26" s="17">
        <f t="shared" si="4"/>
        <v>9.433962264150944</v>
      </c>
      <c r="AC26" s="17">
        <f t="shared" si="5"/>
        <v>40.566037735849058</v>
      </c>
      <c r="AD26" s="18">
        <v>2</v>
      </c>
      <c r="AE26" s="49">
        <v>1.7</v>
      </c>
      <c r="AF26" s="14" t="s">
        <v>102</v>
      </c>
      <c r="AG26" s="17">
        <f t="shared" si="6"/>
        <v>90.566037735849051</v>
      </c>
      <c r="AH26" s="18"/>
      <c r="AI26" s="145" t="s">
        <v>67</v>
      </c>
      <c r="AJ26" s="18"/>
      <c r="AK26" s="18">
        <v>1</v>
      </c>
      <c r="AL26" s="18"/>
      <c r="AM26" s="18"/>
      <c r="AN26" s="18" t="str">
        <f t="shared" si="3"/>
        <v>P3F1</v>
      </c>
      <c r="AO26" s="18"/>
      <c r="AP26" s="18"/>
      <c r="AQ26" s="15"/>
      <c r="AR26" s="18"/>
      <c r="AS26" s="18"/>
      <c r="AT26" s="18"/>
      <c r="AU26" s="18"/>
      <c r="AV26" s="15"/>
      <c r="AW26" s="18"/>
      <c r="AX26" s="18"/>
      <c r="AY26" s="18"/>
      <c r="AZ26" s="18"/>
      <c r="BA26" s="18"/>
    </row>
    <row r="27" spans="1:53" x14ac:dyDescent="0.25">
      <c r="A27" s="18" t="s">
        <v>191</v>
      </c>
      <c r="B27" s="18">
        <v>26</v>
      </c>
      <c r="C27" s="18">
        <v>1</v>
      </c>
      <c r="D27" s="18" t="s">
        <v>192</v>
      </c>
      <c r="E27" s="18" t="s">
        <v>55</v>
      </c>
      <c r="F27" s="18" t="s">
        <v>164</v>
      </c>
      <c r="G27" s="18" t="s">
        <v>55</v>
      </c>
      <c r="H27" s="18" t="s">
        <v>93</v>
      </c>
      <c r="I27" s="18">
        <v>1</v>
      </c>
      <c r="J27" s="18" t="s">
        <v>165</v>
      </c>
      <c r="K27" s="19" t="s">
        <v>95</v>
      </c>
      <c r="L27" s="13">
        <v>45343</v>
      </c>
      <c r="M27" s="19" t="s">
        <v>193</v>
      </c>
      <c r="N27" s="19" t="s">
        <v>194</v>
      </c>
      <c r="O27" s="18">
        <v>4</v>
      </c>
      <c r="P27" s="18">
        <v>9</v>
      </c>
      <c r="Q27" s="18" t="s">
        <v>195</v>
      </c>
      <c r="R27" s="18">
        <v>22</v>
      </c>
      <c r="S27" s="18">
        <v>20</v>
      </c>
      <c r="T27" s="18" t="s">
        <v>99</v>
      </c>
      <c r="U27" s="14" t="s">
        <v>64</v>
      </c>
      <c r="V27" s="14"/>
      <c r="W27" s="14"/>
      <c r="X27" s="15"/>
      <c r="Y27" s="16">
        <v>45349</v>
      </c>
      <c r="Z27" s="19" t="s">
        <v>87</v>
      </c>
      <c r="AA27" s="18">
        <v>50</v>
      </c>
      <c r="AB27" s="17">
        <f t="shared" si="4"/>
        <v>4.6296296296296298</v>
      </c>
      <c r="AC27" s="17">
        <f t="shared" si="5"/>
        <v>45.370370370370367</v>
      </c>
      <c r="AD27" s="18">
        <v>2</v>
      </c>
      <c r="AE27" s="18">
        <v>2.04</v>
      </c>
      <c r="AF27" s="14"/>
      <c r="AG27" s="17">
        <f t="shared" si="6"/>
        <v>95.370370370370367</v>
      </c>
      <c r="AH27" s="18"/>
      <c r="AI27" s="145" t="s">
        <v>67</v>
      </c>
      <c r="AJ27" s="18"/>
      <c r="AK27" s="18">
        <v>1</v>
      </c>
      <c r="AL27" s="18"/>
      <c r="AM27" s="18"/>
      <c r="AN27" s="18" t="str">
        <f t="shared" si="3"/>
        <v>P1P1</v>
      </c>
      <c r="AO27" s="18"/>
      <c r="AP27" s="18"/>
      <c r="AQ27" s="15"/>
      <c r="AR27" s="18"/>
      <c r="AS27" s="18"/>
      <c r="AT27" s="18"/>
      <c r="AU27" s="18"/>
      <c r="AV27" s="15"/>
      <c r="AW27" s="18"/>
      <c r="AX27" s="18"/>
      <c r="AY27" s="18"/>
      <c r="AZ27" s="18"/>
      <c r="BA27" s="18"/>
    </row>
    <row r="28" spans="1:53" x14ac:dyDescent="0.25">
      <c r="A28" s="18" t="s">
        <v>196</v>
      </c>
      <c r="B28" s="18">
        <v>27</v>
      </c>
      <c r="C28" s="18">
        <v>1</v>
      </c>
      <c r="D28" s="18" t="s">
        <v>197</v>
      </c>
      <c r="E28" s="18" t="s">
        <v>55</v>
      </c>
      <c r="F28" s="18" t="s">
        <v>164</v>
      </c>
      <c r="G28" s="18" t="s">
        <v>55</v>
      </c>
      <c r="H28" s="18" t="s">
        <v>93</v>
      </c>
      <c r="I28" s="18">
        <v>2</v>
      </c>
      <c r="J28" s="18" t="s">
        <v>94</v>
      </c>
      <c r="K28" s="19" t="s">
        <v>59</v>
      </c>
      <c r="L28" s="13">
        <v>45343</v>
      </c>
      <c r="M28" s="19" t="s">
        <v>193</v>
      </c>
      <c r="N28" s="19" t="s">
        <v>194</v>
      </c>
      <c r="O28" s="18">
        <v>4</v>
      </c>
      <c r="P28" s="18">
        <v>9</v>
      </c>
      <c r="Q28" s="18" t="s">
        <v>198</v>
      </c>
      <c r="R28" s="18">
        <v>22</v>
      </c>
      <c r="S28" s="18">
        <v>20</v>
      </c>
      <c r="T28" s="18" t="s">
        <v>99</v>
      </c>
      <c r="U28" s="14" t="s">
        <v>64</v>
      </c>
      <c r="V28" s="14"/>
      <c r="W28" s="14" t="s">
        <v>199</v>
      </c>
      <c r="X28" s="15"/>
      <c r="Y28" s="16">
        <v>45349</v>
      </c>
      <c r="Z28" s="19" t="s">
        <v>200</v>
      </c>
      <c r="AA28" s="18">
        <v>50</v>
      </c>
      <c r="AB28" s="17">
        <f t="shared" si="4"/>
        <v>3.2679738562091503</v>
      </c>
      <c r="AC28" s="17">
        <f t="shared" si="5"/>
        <v>46.732026143790847</v>
      </c>
      <c r="AD28" s="18">
        <v>2</v>
      </c>
      <c r="AE28" s="18">
        <v>2.02</v>
      </c>
      <c r="AF28" s="14"/>
      <c r="AG28" s="17">
        <f t="shared" si="6"/>
        <v>96.732026143790847</v>
      </c>
      <c r="AH28" s="18"/>
      <c r="AI28" s="145" t="s">
        <v>67</v>
      </c>
      <c r="AJ28" s="18"/>
      <c r="AK28" s="18">
        <v>1</v>
      </c>
      <c r="AL28" s="18"/>
      <c r="AM28" s="18"/>
      <c r="AN28" s="18" t="str">
        <f t="shared" si="3"/>
        <v>P2P1</v>
      </c>
      <c r="AO28" s="18"/>
      <c r="AP28" s="18"/>
      <c r="AQ28" s="15"/>
      <c r="AR28" s="18"/>
      <c r="AS28" s="18"/>
      <c r="AT28" s="18"/>
      <c r="AU28" s="18"/>
      <c r="AV28" s="15"/>
      <c r="AW28" s="18"/>
      <c r="AX28" s="18"/>
      <c r="AY28" s="18"/>
      <c r="AZ28" s="18"/>
      <c r="BA28" s="18"/>
    </row>
    <row r="29" spans="1:53" x14ac:dyDescent="0.25">
      <c r="A29" s="18" t="s">
        <v>201</v>
      </c>
      <c r="B29" s="18">
        <v>28</v>
      </c>
      <c r="C29" s="18">
        <v>1</v>
      </c>
      <c r="D29" s="18" t="s">
        <v>202</v>
      </c>
      <c r="E29" s="18" t="s">
        <v>55</v>
      </c>
      <c r="F29" s="18" t="s">
        <v>164</v>
      </c>
      <c r="G29" s="18" t="s">
        <v>55</v>
      </c>
      <c r="H29" s="18" t="s">
        <v>93</v>
      </c>
      <c r="I29" s="18">
        <v>3</v>
      </c>
      <c r="J29" s="18" t="s">
        <v>165</v>
      </c>
      <c r="K29" s="19" t="s">
        <v>95</v>
      </c>
      <c r="L29" s="13">
        <v>45343</v>
      </c>
      <c r="M29" s="19" t="s">
        <v>193</v>
      </c>
      <c r="N29" s="19" t="s">
        <v>194</v>
      </c>
      <c r="O29" s="18">
        <v>4</v>
      </c>
      <c r="P29" s="18">
        <v>9</v>
      </c>
      <c r="Q29" s="18" t="s">
        <v>203</v>
      </c>
      <c r="R29" s="18">
        <v>22</v>
      </c>
      <c r="S29" s="18">
        <v>20</v>
      </c>
      <c r="T29" s="18" t="s">
        <v>99</v>
      </c>
      <c r="U29" s="14" t="s">
        <v>64</v>
      </c>
      <c r="V29" s="14"/>
      <c r="W29" s="14" t="s">
        <v>199</v>
      </c>
      <c r="X29" s="15"/>
      <c r="Y29" s="16">
        <v>45349</v>
      </c>
      <c r="Z29" s="19" t="s">
        <v>204</v>
      </c>
      <c r="AA29" s="18">
        <v>50</v>
      </c>
      <c r="AB29" s="17">
        <f t="shared" si="4"/>
        <v>3.5971223021582732</v>
      </c>
      <c r="AC29" s="17">
        <f t="shared" si="5"/>
        <v>46.402877697841724</v>
      </c>
      <c r="AD29" s="18">
        <v>2</v>
      </c>
      <c r="AE29" s="18">
        <v>1.94</v>
      </c>
      <c r="AF29" s="14"/>
      <c r="AG29" s="17">
        <f t="shared" si="6"/>
        <v>96.402877697841731</v>
      </c>
      <c r="AH29" s="18"/>
      <c r="AI29" s="145" t="s">
        <v>67</v>
      </c>
      <c r="AJ29" s="18"/>
      <c r="AK29" s="18">
        <v>1</v>
      </c>
      <c r="AL29" s="18"/>
      <c r="AM29" s="18"/>
      <c r="AN29" s="18" t="str">
        <f t="shared" si="3"/>
        <v>P3P1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</row>
    <row r="30" spans="1:53" x14ac:dyDescent="0.25">
      <c r="A30" s="28" t="s">
        <v>205</v>
      </c>
      <c r="B30" s="18">
        <v>29</v>
      </c>
      <c r="C30" s="18">
        <v>1</v>
      </c>
      <c r="D30" s="28" t="s">
        <v>206</v>
      </c>
      <c r="E30" s="28" t="s">
        <v>55</v>
      </c>
      <c r="F30" s="28" t="s">
        <v>207</v>
      </c>
      <c r="G30" s="28" t="s">
        <v>55</v>
      </c>
      <c r="H30" s="28" t="s">
        <v>93</v>
      </c>
      <c r="I30" s="28" t="s">
        <v>159</v>
      </c>
      <c r="J30" s="28" t="s">
        <v>165</v>
      </c>
      <c r="K30" s="22" t="s">
        <v>95</v>
      </c>
      <c r="L30" s="23">
        <v>45343</v>
      </c>
      <c r="M30" s="22" t="s">
        <v>208</v>
      </c>
      <c r="N30" s="22" t="s">
        <v>209</v>
      </c>
      <c r="O30" s="28"/>
      <c r="P30" s="28"/>
      <c r="Q30" s="28" t="s">
        <v>210</v>
      </c>
      <c r="R30" s="28"/>
      <c r="S30" s="28">
        <v>1.5</v>
      </c>
      <c r="T30" s="28" t="s">
        <v>99</v>
      </c>
      <c r="U30" s="24" t="s">
        <v>64</v>
      </c>
      <c r="V30" s="24"/>
      <c r="W30" s="24"/>
      <c r="X30" s="25"/>
      <c r="Y30" s="26">
        <v>45349</v>
      </c>
      <c r="Z30" s="22" t="s">
        <v>211</v>
      </c>
      <c r="AA30" s="30">
        <v>50</v>
      </c>
      <c r="AB30" s="31">
        <v>20</v>
      </c>
      <c r="AC30" s="31">
        <v>0</v>
      </c>
      <c r="AD30" s="30">
        <v>2</v>
      </c>
      <c r="AE30" s="28">
        <v>0.41199999999999998</v>
      </c>
      <c r="AF30" s="24"/>
      <c r="AG30" s="28">
        <v>80</v>
      </c>
      <c r="AH30" s="28"/>
      <c r="AI30" s="25" t="s">
        <v>67</v>
      </c>
      <c r="AJ30" s="28"/>
      <c r="AK30" s="18">
        <v>1</v>
      </c>
      <c r="AL30" s="28"/>
      <c r="AM30" s="28"/>
      <c r="AN30" s="18" t="str">
        <f t="shared" si="3"/>
        <v>PBP1</v>
      </c>
      <c r="AO30" s="28"/>
      <c r="AP30" s="28"/>
      <c r="AQ30" s="25"/>
      <c r="AR30" s="28"/>
      <c r="AS30" s="28"/>
      <c r="AT30" s="28"/>
      <c r="AU30" s="28"/>
      <c r="AV30" s="25"/>
      <c r="AW30" s="28"/>
      <c r="AX30" s="28"/>
      <c r="AY30" s="28"/>
      <c r="AZ30" s="28"/>
      <c r="BA30" s="28"/>
    </row>
    <row r="31" spans="1:53" x14ac:dyDescent="0.25">
      <c r="A31" s="18" t="s">
        <v>212</v>
      </c>
      <c r="B31" s="18">
        <v>30</v>
      </c>
      <c r="C31" s="18">
        <v>1</v>
      </c>
      <c r="D31" s="18" t="s">
        <v>213</v>
      </c>
      <c r="E31" s="18" t="s">
        <v>55</v>
      </c>
      <c r="F31" s="18" t="s">
        <v>207</v>
      </c>
      <c r="G31" s="18" t="s">
        <v>114</v>
      </c>
      <c r="H31" s="18" t="s">
        <v>57</v>
      </c>
      <c r="I31" s="18">
        <v>1</v>
      </c>
      <c r="J31" s="18" t="s">
        <v>165</v>
      </c>
      <c r="K31" s="19" t="s">
        <v>59</v>
      </c>
      <c r="L31" s="13">
        <v>45348</v>
      </c>
      <c r="M31" s="19" t="s">
        <v>214</v>
      </c>
      <c r="N31" s="19" t="s">
        <v>215</v>
      </c>
      <c r="O31" s="18">
        <v>1</v>
      </c>
      <c r="P31" s="18">
        <v>2</v>
      </c>
      <c r="Q31" s="18" t="s">
        <v>216</v>
      </c>
      <c r="R31" s="18">
        <v>8</v>
      </c>
      <c r="S31" s="18">
        <v>20</v>
      </c>
      <c r="T31" s="18" t="s">
        <v>99</v>
      </c>
      <c r="U31" s="14" t="s">
        <v>64</v>
      </c>
      <c r="V31" s="14"/>
      <c r="W31" s="14"/>
      <c r="X31" s="15"/>
      <c r="Y31" s="16">
        <v>45351</v>
      </c>
      <c r="Z31" s="19" t="s">
        <v>217</v>
      </c>
      <c r="AA31" s="18">
        <v>50</v>
      </c>
      <c r="AB31" s="17">
        <f t="shared" ref="AB31:AB57" si="7">AA31*AD31/Z31</f>
        <v>4.2735042735042734</v>
      </c>
      <c r="AC31" s="17">
        <f t="shared" ref="AC31:AC57" si="8">AA31-AB31</f>
        <v>45.726495726495727</v>
      </c>
      <c r="AD31" s="18">
        <v>2</v>
      </c>
      <c r="AE31" s="18">
        <v>2.14</v>
      </c>
      <c r="AF31" s="14" t="s">
        <v>102</v>
      </c>
      <c r="AG31" s="17">
        <f t="shared" ref="AG31:AG36" si="9">100-AB31</f>
        <v>95.726495726495727</v>
      </c>
      <c r="AH31" s="18"/>
      <c r="AI31" s="15" t="s">
        <v>67</v>
      </c>
      <c r="AJ31" s="18"/>
      <c r="AK31" s="18">
        <v>1</v>
      </c>
      <c r="AL31" s="18"/>
      <c r="AM31" s="18"/>
      <c r="AN31" s="18" t="str">
        <f t="shared" si="3"/>
        <v>E1L1</v>
      </c>
      <c r="AO31" s="18"/>
      <c r="AP31" s="18"/>
      <c r="AQ31" s="15"/>
      <c r="AR31" s="18"/>
      <c r="AS31" s="18"/>
      <c r="AT31" s="18"/>
      <c r="AU31" s="18"/>
      <c r="AV31" s="15"/>
      <c r="AW31" s="18"/>
      <c r="AX31" s="18"/>
      <c r="AY31" s="18"/>
      <c r="AZ31" s="18"/>
      <c r="BA31" s="18"/>
    </row>
    <row r="32" spans="1:53" x14ac:dyDescent="0.25">
      <c r="A32" s="18" t="s">
        <v>218</v>
      </c>
      <c r="B32" s="18">
        <v>31</v>
      </c>
      <c r="C32" s="18">
        <v>1</v>
      </c>
      <c r="D32" s="18" t="s">
        <v>219</v>
      </c>
      <c r="E32" s="18" t="s">
        <v>55</v>
      </c>
      <c r="F32" s="18" t="s">
        <v>207</v>
      </c>
      <c r="G32" s="18" t="s">
        <v>114</v>
      </c>
      <c r="H32" s="18" t="s">
        <v>70</v>
      </c>
      <c r="I32" s="18">
        <v>2</v>
      </c>
      <c r="J32" s="18" t="s">
        <v>165</v>
      </c>
      <c r="K32" s="19" t="s">
        <v>59</v>
      </c>
      <c r="L32" s="13">
        <v>45348</v>
      </c>
      <c r="M32" s="19" t="s">
        <v>214</v>
      </c>
      <c r="N32" s="19" t="s">
        <v>215</v>
      </c>
      <c r="O32" s="18">
        <v>1</v>
      </c>
      <c r="P32" s="18">
        <v>2</v>
      </c>
      <c r="Q32" s="18" t="s">
        <v>220</v>
      </c>
      <c r="R32" s="18">
        <v>8</v>
      </c>
      <c r="S32" s="18">
        <v>20</v>
      </c>
      <c r="T32" s="18" t="s">
        <v>99</v>
      </c>
      <c r="U32" s="14" t="s">
        <v>64</v>
      </c>
      <c r="V32" s="14"/>
      <c r="W32" s="14"/>
      <c r="X32" s="15"/>
      <c r="Y32" s="16">
        <v>45351</v>
      </c>
      <c r="Z32" s="19" t="s">
        <v>221</v>
      </c>
      <c r="AA32" s="18">
        <v>50</v>
      </c>
      <c r="AB32" s="17">
        <f t="shared" si="7"/>
        <v>4.9019607843137258</v>
      </c>
      <c r="AC32" s="17">
        <f t="shared" si="8"/>
        <v>45.098039215686271</v>
      </c>
      <c r="AD32" s="18">
        <v>2</v>
      </c>
      <c r="AE32" s="18">
        <v>2.1800000000000002</v>
      </c>
      <c r="AF32" s="14" t="s">
        <v>102</v>
      </c>
      <c r="AG32" s="17">
        <f t="shared" si="9"/>
        <v>95.098039215686271</v>
      </c>
      <c r="AH32" s="18"/>
      <c r="AI32" s="15" t="s">
        <v>67</v>
      </c>
      <c r="AJ32" s="18"/>
      <c r="AK32" s="18">
        <v>1</v>
      </c>
      <c r="AL32" s="18"/>
      <c r="AM32" s="18"/>
      <c r="AN32" s="18" t="str">
        <f t="shared" si="3"/>
        <v>E2L1</v>
      </c>
      <c r="AO32" s="18"/>
      <c r="AP32" s="18"/>
      <c r="AQ32" s="15"/>
      <c r="AR32" s="18"/>
      <c r="AS32" s="18"/>
      <c r="AT32" s="18"/>
      <c r="AU32" s="18"/>
      <c r="AV32" s="15"/>
      <c r="AW32" s="18"/>
      <c r="AX32" s="18"/>
      <c r="AY32" s="18"/>
      <c r="AZ32" s="18"/>
      <c r="BA32" s="18"/>
    </row>
    <row r="33" spans="1:53" x14ac:dyDescent="0.25">
      <c r="A33" s="18" t="s">
        <v>222</v>
      </c>
      <c r="B33" s="18">
        <v>32</v>
      </c>
      <c r="C33" s="18">
        <v>1</v>
      </c>
      <c r="D33" s="18" t="s">
        <v>223</v>
      </c>
      <c r="E33" s="18" t="s">
        <v>55</v>
      </c>
      <c r="F33" s="18" t="s">
        <v>207</v>
      </c>
      <c r="G33" s="18" t="s">
        <v>114</v>
      </c>
      <c r="H33" s="18" t="s">
        <v>70</v>
      </c>
      <c r="I33" s="18">
        <v>3</v>
      </c>
      <c r="J33" s="18" t="s">
        <v>165</v>
      </c>
      <c r="K33" s="19" t="s">
        <v>59</v>
      </c>
      <c r="L33" s="13">
        <v>45348</v>
      </c>
      <c r="M33" s="19" t="s">
        <v>214</v>
      </c>
      <c r="N33" s="19" t="s">
        <v>215</v>
      </c>
      <c r="O33" s="18">
        <v>1</v>
      </c>
      <c r="P33" s="18">
        <v>2</v>
      </c>
      <c r="Q33" s="18" t="s">
        <v>224</v>
      </c>
      <c r="R33" s="18">
        <v>8</v>
      </c>
      <c r="S33" s="18">
        <v>20</v>
      </c>
      <c r="T33" s="18" t="s">
        <v>99</v>
      </c>
      <c r="U33" s="14" t="s">
        <v>64</v>
      </c>
      <c r="V33" s="14"/>
      <c r="W33" s="14"/>
      <c r="X33" s="15"/>
      <c r="Y33" s="16">
        <v>45351</v>
      </c>
      <c r="Z33" s="19" t="s">
        <v>225</v>
      </c>
      <c r="AA33" s="18">
        <v>50</v>
      </c>
      <c r="AB33" s="17">
        <f t="shared" si="7"/>
        <v>5.0761421319796955</v>
      </c>
      <c r="AC33" s="17">
        <f t="shared" si="8"/>
        <v>44.923857868020306</v>
      </c>
      <c r="AD33" s="18">
        <v>2</v>
      </c>
      <c r="AE33" s="18">
        <v>1.94</v>
      </c>
      <c r="AF33" s="14" t="s">
        <v>102</v>
      </c>
      <c r="AG33" s="17">
        <f t="shared" si="9"/>
        <v>94.923857868020306</v>
      </c>
      <c r="AH33" s="18"/>
      <c r="AI33" s="15" t="s">
        <v>67</v>
      </c>
      <c r="AJ33" s="18"/>
      <c r="AK33" s="18">
        <v>1</v>
      </c>
      <c r="AL33" s="18"/>
      <c r="AM33" s="18"/>
      <c r="AN33" s="18" t="str">
        <f t="shared" si="3"/>
        <v>E3L1</v>
      </c>
      <c r="AO33" s="18"/>
      <c r="AP33" s="18"/>
      <c r="AQ33" s="15"/>
      <c r="AR33" s="18"/>
      <c r="AS33" s="18"/>
      <c r="AT33" s="18"/>
      <c r="AU33" s="18"/>
      <c r="AV33" s="15"/>
      <c r="AW33" s="18"/>
      <c r="AX33" s="18"/>
      <c r="AY33" s="18"/>
      <c r="AZ33" s="18"/>
      <c r="BA33" s="18"/>
    </row>
    <row r="34" spans="1:53" x14ac:dyDescent="0.25">
      <c r="A34" s="18" t="s">
        <v>226</v>
      </c>
      <c r="B34" s="18">
        <v>33</v>
      </c>
      <c r="C34" s="18">
        <v>1</v>
      </c>
      <c r="D34" s="18" t="s">
        <v>227</v>
      </c>
      <c r="E34" s="18" t="s">
        <v>55</v>
      </c>
      <c r="F34" s="18" t="s">
        <v>207</v>
      </c>
      <c r="G34" s="18" t="s">
        <v>114</v>
      </c>
      <c r="H34" s="18" t="s">
        <v>78</v>
      </c>
      <c r="I34" s="18">
        <v>1</v>
      </c>
      <c r="J34" s="18" t="s">
        <v>165</v>
      </c>
      <c r="K34" s="19" t="s">
        <v>59</v>
      </c>
      <c r="L34" s="13">
        <v>45348</v>
      </c>
      <c r="M34" s="19" t="s">
        <v>228</v>
      </c>
      <c r="N34" s="19" t="s">
        <v>229</v>
      </c>
      <c r="O34" s="18">
        <v>1</v>
      </c>
      <c r="P34" s="18">
        <v>1</v>
      </c>
      <c r="Q34" s="18" t="s">
        <v>230</v>
      </c>
      <c r="R34" s="18">
        <v>8</v>
      </c>
      <c r="S34" s="18">
        <v>20</v>
      </c>
      <c r="T34" s="18" t="s">
        <v>99</v>
      </c>
      <c r="U34" s="14" t="s">
        <v>64</v>
      </c>
      <c r="V34" s="14"/>
      <c r="W34" s="14"/>
      <c r="X34" s="15"/>
      <c r="Y34" s="16">
        <v>45351</v>
      </c>
      <c r="Z34" s="19" t="s">
        <v>231</v>
      </c>
      <c r="AA34" s="18">
        <v>50</v>
      </c>
      <c r="AB34" s="17">
        <f t="shared" si="7"/>
        <v>7.6923076923076925</v>
      </c>
      <c r="AC34" s="17">
        <f t="shared" si="8"/>
        <v>42.307692307692307</v>
      </c>
      <c r="AD34" s="18">
        <v>2</v>
      </c>
      <c r="AE34" s="18">
        <v>2.36</v>
      </c>
      <c r="AF34" s="14" t="s">
        <v>102</v>
      </c>
      <c r="AG34" s="17">
        <f t="shared" si="9"/>
        <v>92.307692307692307</v>
      </c>
      <c r="AH34" s="18"/>
      <c r="AI34" s="15" t="s">
        <v>67</v>
      </c>
      <c r="AJ34" s="18"/>
      <c r="AK34" s="18">
        <v>1</v>
      </c>
      <c r="AL34" s="18"/>
      <c r="AM34" s="18"/>
      <c r="AN34" s="18" t="str">
        <f t="shared" si="3"/>
        <v>E1F1</v>
      </c>
      <c r="AO34" s="18"/>
      <c r="AP34" s="18"/>
      <c r="AQ34" s="15"/>
      <c r="AR34" s="18"/>
      <c r="AS34" s="18"/>
      <c r="AT34" s="18"/>
      <c r="AU34" s="18"/>
      <c r="AV34" s="15"/>
      <c r="AW34" s="18"/>
      <c r="AX34" s="18"/>
      <c r="AY34" s="18"/>
      <c r="AZ34" s="18"/>
      <c r="BA34" s="18"/>
    </row>
    <row r="35" spans="1:53" x14ac:dyDescent="0.25">
      <c r="A35" s="18" t="s">
        <v>232</v>
      </c>
      <c r="B35" s="18">
        <v>34</v>
      </c>
      <c r="C35" s="18">
        <v>1</v>
      </c>
      <c r="D35" s="18" t="s">
        <v>233</v>
      </c>
      <c r="E35" s="18" t="s">
        <v>55</v>
      </c>
      <c r="F35" s="18" t="s">
        <v>207</v>
      </c>
      <c r="G35" s="18" t="s">
        <v>114</v>
      </c>
      <c r="H35" s="18" t="s">
        <v>78</v>
      </c>
      <c r="I35" s="18">
        <v>2</v>
      </c>
      <c r="J35" s="18" t="s">
        <v>165</v>
      </c>
      <c r="K35" s="19" t="s">
        <v>59</v>
      </c>
      <c r="L35" s="13">
        <v>45348</v>
      </c>
      <c r="M35" s="19" t="s">
        <v>228</v>
      </c>
      <c r="N35" s="19" t="s">
        <v>229</v>
      </c>
      <c r="O35" s="18">
        <v>1</v>
      </c>
      <c r="P35" s="18">
        <v>1</v>
      </c>
      <c r="Q35" s="18" t="s">
        <v>234</v>
      </c>
      <c r="R35" s="18">
        <v>8</v>
      </c>
      <c r="S35" s="18">
        <v>20</v>
      </c>
      <c r="T35" s="18" t="s">
        <v>99</v>
      </c>
      <c r="U35" s="14" t="s">
        <v>64</v>
      </c>
      <c r="V35" s="14"/>
      <c r="X35" s="15"/>
      <c r="Y35" s="16">
        <v>45351</v>
      </c>
      <c r="Z35" s="19" t="s">
        <v>235</v>
      </c>
      <c r="AA35" s="18">
        <v>50</v>
      </c>
      <c r="AB35" s="17">
        <f t="shared" si="7"/>
        <v>6.5789473684210531</v>
      </c>
      <c r="AC35" s="17">
        <f t="shared" si="8"/>
        <v>43.421052631578945</v>
      </c>
      <c r="AD35" s="18">
        <v>2</v>
      </c>
      <c r="AE35" s="18">
        <v>1.99</v>
      </c>
      <c r="AF35" s="14" t="s">
        <v>102</v>
      </c>
      <c r="AG35" s="17">
        <f t="shared" si="9"/>
        <v>93.421052631578945</v>
      </c>
      <c r="AH35" s="18"/>
      <c r="AI35" s="15" t="s">
        <v>67</v>
      </c>
      <c r="AJ35" s="18"/>
      <c r="AK35" s="18">
        <v>1</v>
      </c>
      <c r="AL35" s="18"/>
      <c r="AM35" s="18"/>
      <c r="AN35" s="18" t="str">
        <f t="shared" si="3"/>
        <v>E2F1</v>
      </c>
      <c r="AO35" s="18"/>
      <c r="AP35" s="18"/>
      <c r="AQ35" s="15"/>
      <c r="AR35" s="18"/>
      <c r="AS35" s="18"/>
      <c r="AT35" s="18"/>
      <c r="AU35" s="18"/>
      <c r="AV35" s="15"/>
      <c r="AW35" s="18"/>
      <c r="AX35" s="18"/>
      <c r="AY35" s="18"/>
      <c r="AZ35" s="18"/>
      <c r="BA35" s="18"/>
    </row>
    <row r="36" spans="1:53" x14ac:dyDescent="0.25">
      <c r="A36" s="18" t="s">
        <v>236</v>
      </c>
      <c r="B36" s="18">
        <v>35</v>
      </c>
      <c r="C36" s="18">
        <v>1</v>
      </c>
      <c r="D36" s="18" t="s">
        <v>237</v>
      </c>
      <c r="E36" s="18" t="s">
        <v>55</v>
      </c>
      <c r="F36" s="18" t="s">
        <v>207</v>
      </c>
      <c r="G36" s="18" t="s">
        <v>114</v>
      </c>
      <c r="H36" s="18" t="s">
        <v>78</v>
      </c>
      <c r="I36" s="18">
        <v>3</v>
      </c>
      <c r="J36" s="18" t="s">
        <v>165</v>
      </c>
      <c r="K36" s="19" t="s">
        <v>59</v>
      </c>
      <c r="L36" s="13">
        <v>45348</v>
      </c>
      <c r="M36" s="19" t="s">
        <v>228</v>
      </c>
      <c r="N36" s="19" t="s">
        <v>229</v>
      </c>
      <c r="O36" s="18">
        <v>1</v>
      </c>
      <c r="P36" s="18">
        <v>1</v>
      </c>
      <c r="Q36" s="18" t="s">
        <v>238</v>
      </c>
      <c r="R36" s="18">
        <v>8</v>
      </c>
      <c r="S36" s="18">
        <v>20</v>
      </c>
      <c r="T36" s="18" t="s">
        <v>99</v>
      </c>
      <c r="U36" s="14" t="s">
        <v>64</v>
      </c>
      <c r="V36" s="14" t="s">
        <v>239</v>
      </c>
      <c r="X36" s="15"/>
      <c r="Y36" s="16">
        <v>45351</v>
      </c>
      <c r="Z36" s="19" t="s">
        <v>342</v>
      </c>
      <c r="AA36" s="18">
        <v>50</v>
      </c>
      <c r="AB36" s="17">
        <f t="shared" si="7"/>
        <v>32.89473684210526</v>
      </c>
      <c r="AC36" s="17">
        <f t="shared" si="8"/>
        <v>17.10526315789474</v>
      </c>
      <c r="AD36" s="18">
        <v>2</v>
      </c>
      <c r="AE36" s="49">
        <v>1.2</v>
      </c>
      <c r="AF36" s="14" t="s">
        <v>102</v>
      </c>
      <c r="AG36" s="17">
        <f t="shared" si="9"/>
        <v>67.10526315789474</v>
      </c>
      <c r="AH36" s="18"/>
      <c r="AI36" s="15" t="s">
        <v>67</v>
      </c>
      <c r="AJ36" s="18"/>
      <c r="AK36" s="18">
        <v>1</v>
      </c>
      <c r="AL36" s="18"/>
      <c r="AM36" s="18"/>
      <c r="AN36" s="18" t="str">
        <f t="shared" si="3"/>
        <v>E3F1</v>
      </c>
      <c r="AO36" s="18"/>
      <c r="AP36" s="18"/>
      <c r="AQ36" s="15"/>
      <c r="AR36" s="18"/>
      <c r="AS36" s="18"/>
      <c r="AT36" s="18"/>
      <c r="AU36" s="18"/>
      <c r="AV36" s="15"/>
      <c r="AW36" s="18"/>
      <c r="AX36" s="18"/>
      <c r="AY36" s="18"/>
      <c r="AZ36" s="18"/>
      <c r="BA36" s="18"/>
    </row>
    <row r="37" spans="1:53" x14ac:dyDescent="0.25">
      <c r="A37" s="38" t="s">
        <v>240</v>
      </c>
      <c r="B37" s="38">
        <v>36</v>
      </c>
      <c r="C37" s="38">
        <v>1</v>
      </c>
      <c r="D37" s="38" t="s">
        <v>241</v>
      </c>
      <c r="E37" s="38" t="s">
        <v>55</v>
      </c>
      <c r="F37" s="38" t="s">
        <v>207</v>
      </c>
      <c r="G37" s="38" t="s">
        <v>114</v>
      </c>
      <c r="H37" s="38" t="s">
        <v>93</v>
      </c>
      <c r="I37" s="38">
        <v>1</v>
      </c>
      <c r="J37" s="38" t="s">
        <v>165</v>
      </c>
      <c r="K37" s="32" t="s">
        <v>95</v>
      </c>
      <c r="L37" s="33">
        <v>45343</v>
      </c>
      <c r="M37" s="32" t="s">
        <v>242</v>
      </c>
      <c r="N37" s="32" t="s">
        <v>243</v>
      </c>
      <c r="O37" s="38">
        <v>4</v>
      </c>
      <c r="P37" s="38">
        <v>6</v>
      </c>
      <c r="Q37" s="38" t="s">
        <v>244</v>
      </c>
      <c r="R37" s="38">
        <v>22</v>
      </c>
      <c r="S37" s="38">
        <v>20</v>
      </c>
      <c r="T37" s="38" t="s">
        <v>99</v>
      </c>
      <c r="U37" s="34" t="s">
        <v>64</v>
      </c>
      <c r="V37" s="34"/>
      <c r="W37" s="34" t="s">
        <v>245</v>
      </c>
      <c r="X37" s="147"/>
      <c r="Y37" s="35">
        <v>45348</v>
      </c>
      <c r="Z37" s="36" t="s">
        <v>246</v>
      </c>
      <c r="AA37" s="38">
        <v>200</v>
      </c>
      <c r="AB37" s="37">
        <f t="shared" si="7"/>
        <v>15.873015873015873</v>
      </c>
      <c r="AC37" s="37">
        <f t="shared" si="8"/>
        <v>184.12698412698413</v>
      </c>
      <c r="AD37" s="38">
        <v>2</v>
      </c>
      <c r="AE37" s="38">
        <v>2.06</v>
      </c>
      <c r="AF37" s="34"/>
      <c r="AG37" s="37">
        <f>100-10-AB37</f>
        <v>74.126984126984127</v>
      </c>
      <c r="AH37" s="38">
        <v>100</v>
      </c>
      <c r="AI37" s="147" t="s">
        <v>67</v>
      </c>
      <c r="AJ37" s="38"/>
      <c r="AK37" s="38">
        <v>1</v>
      </c>
      <c r="AL37" s="38"/>
      <c r="AM37" s="38"/>
      <c r="AN37" s="38" t="str">
        <f t="shared" si="3"/>
        <v>E1P1</v>
      </c>
      <c r="AO37" s="38"/>
      <c r="AP37" s="38"/>
      <c r="AQ37" s="147"/>
      <c r="AR37" s="38"/>
      <c r="AS37" s="38"/>
      <c r="AT37" s="38"/>
      <c r="AU37" s="38"/>
      <c r="AV37" s="147"/>
      <c r="AW37" s="38"/>
      <c r="AX37" s="38"/>
      <c r="AY37" s="38"/>
      <c r="AZ37" s="38"/>
      <c r="BA37" s="38"/>
    </row>
    <row r="38" spans="1:53" x14ac:dyDescent="0.25">
      <c r="A38" s="18" t="s">
        <v>247</v>
      </c>
      <c r="B38" s="18">
        <v>37</v>
      </c>
      <c r="C38" s="18">
        <v>1</v>
      </c>
      <c r="D38" s="18" t="s">
        <v>248</v>
      </c>
      <c r="E38" s="18" t="s">
        <v>55</v>
      </c>
      <c r="F38" s="18" t="s">
        <v>207</v>
      </c>
      <c r="G38" s="18" t="s">
        <v>114</v>
      </c>
      <c r="H38" s="18" t="s">
        <v>93</v>
      </c>
      <c r="I38" s="18">
        <v>2</v>
      </c>
      <c r="J38" s="18" t="s">
        <v>94</v>
      </c>
      <c r="K38" s="19" t="s">
        <v>59</v>
      </c>
      <c r="L38" s="13">
        <v>45343</v>
      </c>
      <c r="M38" s="39" t="s">
        <v>242</v>
      </c>
      <c r="N38" s="39" t="s">
        <v>243</v>
      </c>
      <c r="O38" s="18">
        <v>5</v>
      </c>
      <c r="P38" s="18">
        <v>6</v>
      </c>
      <c r="Q38" s="18" t="s">
        <v>249</v>
      </c>
      <c r="R38" s="18">
        <v>22</v>
      </c>
      <c r="S38" s="18">
        <v>20</v>
      </c>
      <c r="T38" s="18" t="s">
        <v>99</v>
      </c>
      <c r="U38" s="14" t="s">
        <v>64</v>
      </c>
      <c r="V38" s="14"/>
      <c r="W38" s="14" t="s">
        <v>245</v>
      </c>
      <c r="X38" s="15"/>
      <c r="Y38" s="16">
        <v>45348</v>
      </c>
      <c r="Z38" s="19" t="s">
        <v>250</v>
      </c>
      <c r="AA38" s="18">
        <v>50</v>
      </c>
      <c r="AB38" s="17">
        <f t="shared" si="7"/>
        <v>9.433962264150944</v>
      </c>
      <c r="AC38" s="17">
        <f t="shared" si="8"/>
        <v>40.566037735849058</v>
      </c>
      <c r="AD38" s="18">
        <v>2</v>
      </c>
      <c r="AE38" s="18">
        <v>2.04</v>
      </c>
      <c r="AF38" s="14"/>
      <c r="AG38" s="17">
        <f>100-7.09-AB38</f>
        <v>83.476037735849047</v>
      </c>
      <c r="AH38" s="18"/>
      <c r="AI38" s="15" t="s">
        <v>67</v>
      </c>
      <c r="AJ38" s="18"/>
      <c r="AK38" s="18">
        <v>1</v>
      </c>
      <c r="AL38" s="18"/>
      <c r="AM38" s="18"/>
      <c r="AN38" s="18" t="str">
        <f t="shared" si="3"/>
        <v>E2P1</v>
      </c>
      <c r="AO38" s="18"/>
      <c r="AP38" s="18"/>
      <c r="AQ38" s="15"/>
      <c r="AR38" s="18"/>
      <c r="AS38" s="18"/>
      <c r="AT38" s="18"/>
      <c r="AU38" s="18"/>
      <c r="AV38" s="15"/>
      <c r="AW38" s="18"/>
      <c r="AX38" s="18"/>
      <c r="AY38" s="18"/>
      <c r="AZ38" s="18"/>
      <c r="BA38" s="18"/>
    </row>
    <row r="39" spans="1:53" x14ac:dyDescent="0.25">
      <c r="A39" s="56" t="s">
        <v>251</v>
      </c>
      <c r="B39" s="18">
        <v>38</v>
      </c>
      <c r="C39" s="18">
        <v>1</v>
      </c>
      <c r="D39" s="56" t="s">
        <v>252</v>
      </c>
      <c r="E39" s="56" t="s">
        <v>55</v>
      </c>
      <c r="F39" s="56" t="s">
        <v>207</v>
      </c>
      <c r="G39" s="56" t="s">
        <v>114</v>
      </c>
      <c r="H39" s="56" t="s">
        <v>93</v>
      </c>
      <c r="I39" s="56">
        <v>3</v>
      </c>
      <c r="J39" s="56" t="s">
        <v>165</v>
      </c>
      <c r="K39" s="82" t="s">
        <v>95</v>
      </c>
      <c r="L39" s="146">
        <v>45343</v>
      </c>
      <c r="M39" s="40" t="s">
        <v>242</v>
      </c>
      <c r="N39" s="40" t="s">
        <v>243</v>
      </c>
      <c r="O39" s="56">
        <v>5</v>
      </c>
      <c r="P39" s="56">
        <v>6</v>
      </c>
      <c r="Q39" s="56" t="s">
        <v>210</v>
      </c>
      <c r="R39" s="56">
        <v>22</v>
      </c>
      <c r="S39" s="56">
        <v>20</v>
      </c>
      <c r="T39" s="56" t="s">
        <v>99</v>
      </c>
      <c r="U39" s="84" t="s">
        <v>64</v>
      </c>
      <c r="V39" s="84"/>
      <c r="W39" s="84" t="s">
        <v>253</v>
      </c>
      <c r="X39" s="85"/>
      <c r="Y39" s="83">
        <v>45348</v>
      </c>
      <c r="Z39" s="82" t="s">
        <v>173</v>
      </c>
      <c r="AA39" s="56">
        <v>50</v>
      </c>
      <c r="AB39" s="86">
        <f t="shared" si="7"/>
        <v>4.7619047619047619</v>
      </c>
      <c r="AC39" s="86">
        <f t="shared" si="8"/>
        <v>45.238095238095241</v>
      </c>
      <c r="AD39" s="56">
        <v>2</v>
      </c>
      <c r="AE39" s="56">
        <v>1.86</v>
      </c>
      <c r="AF39" s="84"/>
      <c r="AG39" s="86">
        <f>100-2.82-AB39</f>
        <v>92.418095238095248</v>
      </c>
      <c r="AH39" s="56"/>
      <c r="AI39" s="85" t="s">
        <v>67</v>
      </c>
      <c r="AJ39" s="56"/>
      <c r="AK39" s="18">
        <v>1</v>
      </c>
      <c r="AL39" s="56"/>
      <c r="AM39" s="56"/>
      <c r="AN39" s="18" t="str">
        <f t="shared" si="3"/>
        <v>E3P1</v>
      </c>
      <c r="AO39" s="56"/>
      <c r="AP39" s="56"/>
      <c r="AQ39" s="85"/>
      <c r="AR39" s="56"/>
      <c r="AS39" s="56"/>
      <c r="AT39" s="56"/>
      <c r="AU39" s="56"/>
      <c r="AV39" s="85"/>
      <c r="AW39" s="56"/>
      <c r="AX39" s="56"/>
      <c r="AY39" s="56"/>
      <c r="AZ39" s="56"/>
      <c r="BA39" s="56"/>
    </row>
    <row r="40" spans="1:53" x14ac:dyDescent="0.25">
      <c r="A40" s="18" t="s">
        <v>254</v>
      </c>
      <c r="B40" s="18">
        <v>39</v>
      </c>
      <c r="C40" s="18">
        <v>1</v>
      </c>
      <c r="D40" s="18" t="s">
        <v>255</v>
      </c>
      <c r="E40" s="18" t="s">
        <v>55</v>
      </c>
      <c r="F40" s="18" t="s">
        <v>256</v>
      </c>
      <c r="G40" s="18" t="s">
        <v>55</v>
      </c>
      <c r="H40" s="18" t="s">
        <v>57</v>
      </c>
      <c r="I40" s="18">
        <v>1</v>
      </c>
      <c r="J40" s="18" t="s">
        <v>165</v>
      </c>
      <c r="K40" s="19" t="s">
        <v>59</v>
      </c>
      <c r="L40" s="13">
        <v>45350</v>
      </c>
      <c r="M40" s="19" t="s">
        <v>257</v>
      </c>
      <c r="N40" s="19" t="s">
        <v>258</v>
      </c>
      <c r="O40" s="18">
        <v>1</v>
      </c>
      <c r="P40" s="18">
        <v>1</v>
      </c>
      <c r="Q40" s="18" t="s">
        <v>259</v>
      </c>
      <c r="R40" s="18">
        <v>7</v>
      </c>
      <c r="S40" s="18">
        <v>20</v>
      </c>
      <c r="T40" s="18" t="s">
        <v>63</v>
      </c>
      <c r="U40" s="14" t="s">
        <v>118</v>
      </c>
      <c r="V40" s="14"/>
      <c r="W40" s="14" t="s">
        <v>260</v>
      </c>
      <c r="X40" s="15"/>
      <c r="Y40" s="16">
        <v>45357</v>
      </c>
      <c r="Z40" s="19" t="s">
        <v>343</v>
      </c>
      <c r="AA40" s="18">
        <v>50</v>
      </c>
      <c r="AB40" s="17">
        <f t="shared" si="7"/>
        <v>13.698630136986301</v>
      </c>
      <c r="AC40" s="17">
        <f t="shared" si="8"/>
        <v>36.301369863013697</v>
      </c>
      <c r="AD40" s="18">
        <v>2</v>
      </c>
      <c r="AE40" s="49">
        <v>1.74</v>
      </c>
      <c r="AF40" s="14" t="s">
        <v>102</v>
      </c>
      <c r="AG40" s="17">
        <f t="shared" ref="AG40:AG57" si="10">100-AB40</f>
        <v>86.301369863013704</v>
      </c>
      <c r="AH40" s="18"/>
      <c r="AI40" s="15" t="s">
        <v>67</v>
      </c>
      <c r="AJ40" s="18"/>
      <c r="AK40" s="18">
        <v>1</v>
      </c>
      <c r="AL40" s="18"/>
      <c r="AM40" s="18"/>
      <c r="AN40" s="18" t="str">
        <f t="shared" si="3"/>
        <v>T1L1</v>
      </c>
      <c r="AO40" s="18"/>
      <c r="AP40" s="18"/>
      <c r="AQ40" s="15"/>
      <c r="AR40" s="18"/>
      <c r="AS40" s="18"/>
      <c r="AT40" s="18"/>
      <c r="AU40" s="18"/>
      <c r="AV40" s="15"/>
      <c r="AW40" s="18"/>
      <c r="AX40" s="18"/>
      <c r="AY40" s="18"/>
      <c r="AZ40" s="18"/>
      <c r="BA40" s="18"/>
    </row>
    <row r="41" spans="1:53" x14ac:dyDescent="0.25">
      <c r="A41" s="18" t="s">
        <v>261</v>
      </c>
      <c r="B41" s="18">
        <v>40</v>
      </c>
      <c r="C41" s="18">
        <v>1</v>
      </c>
      <c r="D41" s="18" t="s">
        <v>262</v>
      </c>
      <c r="E41" s="18" t="s">
        <v>55</v>
      </c>
      <c r="F41" s="18" t="s">
        <v>256</v>
      </c>
      <c r="G41" s="18" t="s">
        <v>55</v>
      </c>
      <c r="H41" s="18" t="s">
        <v>70</v>
      </c>
      <c r="I41" s="18">
        <v>2</v>
      </c>
      <c r="J41" s="18" t="s">
        <v>165</v>
      </c>
      <c r="K41" s="19" t="s">
        <v>59</v>
      </c>
      <c r="L41" s="13">
        <v>45350</v>
      </c>
      <c r="M41" s="19" t="s">
        <v>257</v>
      </c>
      <c r="N41" s="19" t="s">
        <v>258</v>
      </c>
      <c r="O41" s="18">
        <v>1</v>
      </c>
      <c r="P41" s="18">
        <v>1</v>
      </c>
      <c r="Q41" s="18" t="s">
        <v>263</v>
      </c>
      <c r="R41" s="18">
        <v>7</v>
      </c>
      <c r="S41" s="18">
        <v>20</v>
      </c>
      <c r="T41" s="18" t="s">
        <v>63</v>
      </c>
      <c r="U41" s="14" t="s">
        <v>118</v>
      </c>
      <c r="V41" s="14"/>
      <c r="W41" s="14" t="s">
        <v>260</v>
      </c>
      <c r="X41" s="15"/>
      <c r="Y41" s="16">
        <v>45357</v>
      </c>
      <c r="Z41" s="19" t="s">
        <v>264</v>
      </c>
      <c r="AA41" s="18">
        <v>50</v>
      </c>
      <c r="AB41" s="17">
        <f t="shared" si="7"/>
        <v>7.4074074074074074</v>
      </c>
      <c r="AC41" s="17">
        <f t="shared" si="8"/>
        <v>42.592592592592595</v>
      </c>
      <c r="AD41" s="18">
        <v>2</v>
      </c>
      <c r="AE41" s="18">
        <v>1.97</v>
      </c>
      <c r="AF41" s="14" t="s">
        <v>102</v>
      </c>
      <c r="AG41" s="17">
        <f t="shared" si="10"/>
        <v>92.592592592592595</v>
      </c>
      <c r="AH41" s="18"/>
      <c r="AI41" s="15" t="s">
        <v>67</v>
      </c>
      <c r="AJ41" s="18"/>
      <c r="AK41" s="18">
        <v>1</v>
      </c>
      <c r="AL41" s="18"/>
      <c r="AM41" s="18"/>
      <c r="AN41" s="18" t="str">
        <f t="shared" si="3"/>
        <v>T2L1</v>
      </c>
      <c r="AO41" s="18"/>
      <c r="AP41" s="18"/>
      <c r="AQ41" s="15"/>
      <c r="AR41" s="18"/>
      <c r="AS41" s="18"/>
      <c r="AT41" s="18"/>
      <c r="AU41" s="18"/>
      <c r="AV41" s="15"/>
      <c r="AW41" s="18"/>
      <c r="AX41" s="18"/>
      <c r="AY41" s="18"/>
      <c r="AZ41" s="18"/>
      <c r="BA41" s="18"/>
    </row>
    <row r="42" spans="1:53" x14ac:dyDescent="0.25">
      <c r="A42" s="18" t="s">
        <v>265</v>
      </c>
      <c r="B42" s="18">
        <v>41</v>
      </c>
      <c r="C42" s="18">
        <v>1</v>
      </c>
      <c r="D42" s="18" t="s">
        <v>266</v>
      </c>
      <c r="E42" s="18" t="s">
        <v>55</v>
      </c>
      <c r="F42" s="18" t="s">
        <v>256</v>
      </c>
      <c r="G42" s="18" t="s">
        <v>55</v>
      </c>
      <c r="H42" s="18" t="s">
        <v>70</v>
      </c>
      <c r="I42" s="18">
        <v>3</v>
      </c>
      <c r="J42" s="18" t="s">
        <v>165</v>
      </c>
      <c r="K42" s="19" t="s">
        <v>59</v>
      </c>
      <c r="L42" s="13">
        <v>45350</v>
      </c>
      <c r="M42" s="19" t="s">
        <v>257</v>
      </c>
      <c r="N42" s="19" t="s">
        <v>258</v>
      </c>
      <c r="O42" s="18">
        <v>1</v>
      </c>
      <c r="P42" s="18">
        <v>1</v>
      </c>
      <c r="Q42" s="18" t="s">
        <v>267</v>
      </c>
      <c r="R42" s="18">
        <v>8</v>
      </c>
      <c r="S42" s="18">
        <v>20</v>
      </c>
      <c r="T42" s="18" t="s">
        <v>63</v>
      </c>
      <c r="U42" s="14" t="s">
        <v>118</v>
      </c>
      <c r="V42" s="14"/>
      <c r="W42" s="14" t="s">
        <v>260</v>
      </c>
      <c r="X42" s="15"/>
      <c r="Y42" s="16">
        <v>45357</v>
      </c>
      <c r="Z42" s="19" t="s">
        <v>268</v>
      </c>
      <c r="AA42" s="18">
        <v>50</v>
      </c>
      <c r="AB42" s="17">
        <f t="shared" si="7"/>
        <v>9.8039215686274517</v>
      </c>
      <c r="AC42" s="17">
        <f t="shared" si="8"/>
        <v>40.196078431372548</v>
      </c>
      <c r="AD42" s="18">
        <v>2</v>
      </c>
      <c r="AE42" s="48">
        <v>2.2799999999999998</v>
      </c>
      <c r="AF42" s="14" t="s">
        <v>102</v>
      </c>
      <c r="AG42" s="17">
        <f t="shared" si="10"/>
        <v>90.196078431372541</v>
      </c>
      <c r="AH42" s="18"/>
      <c r="AI42" s="15" t="s">
        <v>67</v>
      </c>
      <c r="AJ42" s="18"/>
      <c r="AK42" s="18">
        <v>1</v>
      </c>
      <c r="AL42" s="18"/>
      <c r="AM42" s="18"/>
      <c r="AN42" s="18" t="str">
        <f t="shared" si="3"/>
        <v>T3L1</v>
      </c>
      <c r="AO42" s="18"/>
      <c r="AP42" s="18"/>
      <c r="AQ42" s="15"/>
      <c r="AR42" s="18"/>
      <c r="AS42" s="18"/>
      <c r="AT42" s="18"/>
      <c r="AU42" s="18"/>
      <c r="AV42" s="15"/>
      <c r="AW42" s="18"/>
      <c r="AX42" s="18"/>
      <c r="AY42" s="18"/>
      <c r="AZ42" s="18"/>
      <c r="BA42" s="18"/>
    </row>
    <row r="43" spans="1:53" x14ac:dyDescent="0.25">
      <c r="A43" s="18" t="s">
        <v>269</v>
      </c>
      <c r="B43" s="18">
        <v>42</v>
      </c>
      <c r="C43" s="18">
        <v>1</v>
      </c>
      <c r="D43" s="18" t="s">
        <v>270</v>
      </c>
      <c r="E43" s="18" t="s">
        <v>55</v>
      </c>
      <c r="F43" s="18" t="s">
        <v>256</v>
      </c>
      <c r="G43" s="18" t="s">
        <v>55</v>
      </c>
      <c r="H43" s="18" t="s">
        <v>78</v>
      </c>
      <c r="I43" s="18">
        <v>1</v>
      </c>
      <c r="J43" s="18" t="s">
        <v>165</v>
      </c>
      <c r="K43" s="19" t="s">
        <v>59</v>
      </c>
      <c r="L43" s="13">
        <v>45350</v>
      </c>
      <c r="M43" s="19" t="s">
        <v>271</v>
      </c>
      <c r="N43" s="19" t="s">
        <v>272</v>
      </c>
      <c r="O43" s="18">
        <v>1</v>
      </c>
      <c r="P43" s="18">
        <v>1</v>
      </c>
      <c r="Q43" s="18" t="s">
        <v>273</v>
      </c>
      <c r="R43" s="18">
        <v>8</v>
      </c>
      <c r="S43" s="18">
        <v>20</v>
      </c>
      <c r="T43" s="18" t="s">
        <v>63</v>
      </c>
      <c r="U43" s="14" t="s">
        <v>274</v>
      </c>
      <c r="V43" s="14" t="s">
        <v>275</v>
      </c>
      <c r="X43" s="15"/>
      <c r="Y43" s="16">
        <v>45357</v>
      </c>
      <c r="Z43" s="19" t="s">
        <v>276</v>
      </c>
      <c r="AA43" s="18">
        <v>50</v>
      </c>
      <c r="AB43" s="17">
        <f t="shared" si="7"/>
        <v>6.4102564102564106</v>
      </c>
      <c r="AC43" s="17">
        <f t="shared" si="8"/>
        <v>43.589743589743591</v>
      </c>
      <c r="AD43" s="18">
        <v>2</v>
      </c>
      <c r="AE43" s="18">
        <v>1.96</v>
      </c>
      <c r="AF43" s="14" t="s">
        <v>102</v>
      </c>
      <c r="AG43" s="17">
        <f t="shared" si="10"/>
        <v>93.589743589743591</v>
      </c>
      <c r="AH43" s="18"/>
      <c r="AI43" s="15" t="s">
        <v>67</v>
      </c>
      <c r="AJ43" s="18"/>
      <c r="AK43" s="18">
        <v>1</v>
      </c>
      <c r="AL43" s="18"/>
      <c r="AM43" s="18"/>
      <c r="AN43" s="18" t="str">
        <f t="shared" si="3"/>
        <v>T1F1</v>
      </c>
      <c r="AO43" s="18"/>
      <c r="AP43" s="18"/>
      <c r="AQ43" s="15"/>
      <c r="AR43" s="18"/>
      <c r="AS43" s="18"/>
      <c r="AT43" s="18"/>
      <c r="AU43" s="18"/>
      <c r="AV43" s="15"/>
      <c r="AW43" s="18"/>
      <c r="AX43" s="18"/>
      <c r="AY43" s="18"/>
      <c r="AZ43" s="18"/>
      <c r="BA43" s="18"/>
    </row>
    <row r="44" spans="1:53" x14ac:dyDescent="0.25">
      <c r="A44" s="18" t="s">
        <v>277</v>
      </c>
      <c r="B44" s="18">
        <v>43</v>
      </c>
      <c r="C44" s="18">
        <v>1</v>
      </c>
      <c r="D44" s="18" t="s">
        <v>278</v>
      </c>
      <c r="E44" s="18" t="s">
        <v>55</v>
      </c>
      <c r="F44" s="18" t="s">
        <v>256</v>
      </c>
      <c r="G44" s="18" t="s">
        <v>55</v>
      </c>
      <c r="H44" s="18" t="s">
        <v>78</v>
      </c>
      <c r="I44" s="18">
        <v>2</v>
      </c>
      <c r="J44" s="18" t="s">
        <v>165</v>
      </c>
      <c r="K44" s="19" t="s">
        <v>59</v>
      </c>
      <c r="L44" s="13">
        <v>45350</v>
      </c>
      <c r="M44" s="19" t="s">
        <v>271</v>
      </c>
      <c r="N44" s="19" t="s">
        <v>272</v>
      </c>
      <c r="O44" s="18">
        <v>1</v>
      </c>
      <c r="P44" s="18">
        <v>1</v>
      </c>
      <c r="Q44" s="18" t="s">
        <v>279</v>
      </c>
      <c r="R44" s="18">
        <v>8</v>
      </c>
      <c r="S44" s="18">
        <v>20</v>
      </c>
      <c r="T44" s="18" t="s">
        <v>63</v>
      </c>
      <c r="U44" s="14" t="s">
        <v>274</v>
      </c>
      <c r="V44" s="14" t="s">
        <v>280</v>
      </c>
      <c r="X44" s="15"/>
      <c r="Y44" s="16">
        <v>45357</v>
      </c>
      <c r="Z44" s="19" t="s">
        <v>221</v>
      </c>
      <c r="AA44" s="18">
        <v>50</v>
      </c>
      <c r="AB44" s="17">
        <f t="shared" si="7"/>
        <v>4.9019607843137258</v>
      </c>
      <c r="AC44" s="17">
        <f t="shared" si="8"/>
        <v>45.098039215686271</v>
      </c>
      <c r="AD44" s="18">
        <v>2</v>
      </c>
      <c r="AE44" s="49">
        <v>1.43</v>
      </c>
      <c r="AF44" s="14" t="s">
        <v>102</v>
      </c>
      <c r="AG44" s="17">
        <f t="shared" si="10"/>
        <v>95.098039215686271</v>
      </c>
      <c r="AH44" s="18"/>
      <c r="AI44" s="15" t="s">
        <v>67</v>
      </c>
      <c r="AJ44" s="18"/>
      <c r="AK44" s="18">
        <v>1</v>
      </c>
      <c r="AL44" s="18"/>
      <c r="AM44" s="18"/>
      <c r="AN44" s="18" t="str">
        <f t="shared" si="3"/>
        <v>T2F1</v>
      </c>
      <c r="AO44" s="18"/>
      <c r="AP44" s="18"/>
      <c r="AQ44" s="15"/>
      <c r="AR44" s="18"/>
      <c r="AS44" s="18"/>
      <c r="AT44" s="18"/>
      <c r="AU44" s="18"/>
      <c r="AV44" s="15"/>
      <c r="AW44" s="18"/>
      <c r="AX44" s="18"/>
      <c r="AY44" s="18"/>
      <c r="AZ44" s="18"/>
      <c r="BA44" s="18"/>
    </row>
    <row r="45" spans="1:53" x14ac:dyDescent="0.25">
      <c r="A45" s="18" t="s">
        <v>281</v>
      </c>
      <c r="B45" s="18">
        <v>44</v>
      </c>
      <c r="C45" s="18">
        <v>1</v>
      </c>
      <c r="D45" s="18" t="s">
        <v>282</v>
      </c>
      <c r="E45" s="18" t="s">
        <v>55</v>
      </c>
      <c r="F45" s="18" t="s">
        <v>256</v>
      </c>
      <c r="G45" s="18" t="s">
        <v>55</v>
      </c>
      <c r="H45" s="18" t="s">
        <v>78</v>
      </c>
      <c r="I45" s="18">
        <v>3</v>
      </c>
      <c r="J45" s="18" t="s">
        <v>165</v>
      </c>
      <c r="K45" s="19" t="s">
        <v>59</v>
      </c>
      <c r="L45" s="13">
        <v>45350</v>
      </c>
      <c r="M45" s="19" t="s">
        <v>271</v>
      </c>
      <c r="N45" s="19" t="s">
        <v>272</v>
      </c>
      <c r="O45" s="18">
        <v>1</v>
      </c>
      <c r="P45" s="18">
        <v>1</v>
      </c>
      <c r="Q45" s="18" t="s">
        <v>283</v>
      </c>
      <c r="R45" s="18">
        <v>8</v>
      </c>
      <c r="S45" s="18">
        <v>20</v>
      </c>
      <c r="T45" s="18" t="s">
        <v>63</v>
      </c>
      <c r="U45" s="14" t="s">
        <v>274</v>
      </c>
      <c r="V45" s="14"/>
      <c r="W45" s="14"/>
      <c r="X45" s="15"/>
      <c r="Y45" s="16">
        <v>45357</v>
      </c>
      <c r="Z45" s="19" t="s">
        <v>284</v>
      </c>
      <c r="AA45" s="18">
        <v>50</v>
      </c>
      <c r="AB45" s="17">
        <f t="shared" si="7"/>
        <v>6.3291139240506329</v>
      </c>
      <c r="AC45" s="17">
        <f t="shared" si="8"/>
        <v>43.670886075949369</v>
      </c>
      <c r="AD45" s="18">
        <v>2</v>
      </c>
      <c r="AE45" s="18">
        <v>1.85</v>
      </c>
      <c r="AF45" s="14" t="s">
        <v>102</v>
      </c>
      <c r="AG45" s="17">
        <f t="shared" si="10"/>
        <v>93.670886075949369</v>
      </c>
      <c r="AH45" s="18"/>
      <c r="AI45" s="15" t="s">
        <v>67</v>
      </c>
      <c r="AJ45" s="18"/>
      <c r="AK45" s="18">
        <v>1</v>
      </c>
      <c r="AL45" s="18"/>
      <c r="AM45" s="18"/>
      <c r="AN45" s="18" t="str">
        <f t="shared" si="3"/>
        <v>T3F1</v>
      </c>
      <c r="AO45" s="18"/>
      <c r="AP45" s="18"/>
      <c r="AQ45" s="15"/>
      <c r="AR45" s="18"/>
      <c r="AS45" s="18"/>
      <c r="AT45" s="18"/>
      <c r="AU45" s="18"/>
      <c r="AV45" s="15"/>
      <c r="AW45" s="18"/>
      <c r="AX45" s="18"/>
      <c r="AY45" s="18"/>
      <c r="AZ45" s="18"/>
      <c r="BA45" s="18"/>
    </row>
    <row r="46" spans="1:53" x14ac:dyDescent="0.25">
      <c r="A46" s="18" t="s">
        <v>285</v>
      </c>
      <c r="B46" s="18">
        <v>45</v>
      </c>
      <c r="C46" s="18">
        <v>1</v>
      </c>
      <c r="D46" s="18" t="s">
        <v>286</v>
      </c>
      <c r="E46" s="18" t="s">
        <v>55</v>
      </c>
      <c r="F46" s="18" t="s">
        <v>256</v>
      </c>
      <c r="G46" s="18" t="s">
        <v>55</v>
      </c>
      <c r="H46" s="18" t="s">
        <v>93</v>
      </c>
      <c r="I46" s="18">
        <v>1</v>
      </c>
      <c r="J46" s="18" t="s">
        <v>165</v>
      </c>
      <c r="K46" s="19" t="s">
        <v>95</v>
      </c>
      <c r="L46" s="13">
        <v>45344</v>
      </c>
      <c r="M46" s="19" t="s">
        <v>287</v>
      </c>
      <c r="N46" s="19" t="s">
        <v>288</v>
      </c>
      <c r="O46" s="18">
        <v>6</v>
      </c>
      <c r="P46" s="18">
        <v>9</v>
      </c>
      <c r="Q46" s="18" t="s">
        <v>289</v>
      </c>
      <c r="R46" s="18">
        <v>22</v>
      </c>
      <c r="S46" s="18">
        <v>20</v>
      </c>
      <c r="T46" s="18" t="s">
        <v>99</v>
      </c>
      <c r="U46" s="14" t="s">
        <v>64</v>
      </c>
      <c r="V46" s="14"/>
      <c r="W46" s="14" t="s">
        <v>290</v>
      </c>
      <c r="X46" s="15"/>
      <c r="Y46" s="16">
        <v>45349</v>
      </c>
      <c r="Z46" s="19" t="s">
        <v>344</v>
      </c>
      <c r="AA46" s="18">
        <v>50</v>
      </c>
      <c r="AB46" s="17">
        <f t="shared" si="7"/>
        <v>21.186440677966104</v>
      </c>
      <c r="AC46" s="17">
        <f t="shared" si="8"/>
        <v>28.813559322033896</v>
      </c>
      <c r="AD46" s="18">
        <v>2</v>
      </c>
      <c r="AE46" s="49">
        <v>1.7</v>
      </c>
      <c r="AF46" s="14" t="s">
        <v>102</v>
      </c>
      <c r="AG46" s="17">
        <f t="shared" si="10"/>
        <v>78.813559322033896</v>
      </c>
      <c r="AH46" s="18"/>
      <c r="AI46" s="15" t="s">
        <v>67</v>
      </c>
      <c r="AJ46" s="18"/>
      <c r="AK46" s="18">
        <v>1</v>
      </c>
      <c r="AL46" s="18"/>
      <c r="AM46" s="18"/>
      <c r="AN46" s="18" t="str">
        <f t="shared" si="3"/>
        <v>T1P1</v>
      </c>
      <c r="AO46" s="18"/>
      <c r="AP46" s="18"/>
      <c r="AQ46" s="15"/>
      <c r="AR46" s="18"/>
      <c r="AS46" s="18"/>
      <c r="AT46" s="18"/>
      <c r="AU46" s="18"/>
      <c r="AV46" s="15"/>
      <c r="AW46" s="18"/>
      <c r="AX46" s="18"/>
      <c r="AY46" s="18"/>
      <c r="AZ46" s="18"/>
      <c r="BA46" s="18"/>
    </row>
    <row r="47" spans="1:53" x14ac:dyDescent="0.25">
      <c r="A47" s="18" t="s">
        <v>291</v>
      </c>
      <c r="B47" s="18">
        <v>46</v>
      </c>
      <c r="C47" s="18">
        <v>1</v>
      </c>
      <c r="D47" s="18" t="s">
        <v>292</v>
      </c>
      <c r="E47" s="18" t="s">
        <v>55</v>
      </c>
      <c r="F47" s="18" t="s">
        <v>256</v>
      </c>
      <c r="G47" s="18" t="s">
        <v>55</v>
      </c>
      <c r="H47" s="18" t="s">
        <v>93</v>
      </c>
      <c r="I47" s="18">
        <v>2</v>
      </c>
      <c r="J47" s="18" t="s">
        <v>94</v>
      </c>
      <c r="K47" s="19" t="s">
        <v>59</v>
      </c>
      <c r="L47" s="13">
        <v>45344</v>
      </c>
      <c r="M47" s="19" t="s">
        <v>287</v>
      </c>
      <c r="N47" s="19" t="s">
        <v>288</v>
      </c>
      <c r="O47" s="18">
        <v>6</v>
      </c>
      <c r="P47" s="18">
        <v>9</v>
      </c>
      <c r="Q47" s="18" t="s">
        <v>289</v>
      </c>
      <c r="R47" s="18">
        <v>8</v>
      </c>
      <c r="S47" s="18">
        <v>20</v>
      </c>
      <c r="T47" s="18" t="s">
        <v>99</v>
      </c>
      <c r="U47" s="14" t="s">
        <v>64</v>
      </c>
      <c r="V47" s="14"/>
      <c r="W47" s="14" t="s">
        <v>293</v>
      </c>
      <c r="X47" s="15"/>
      <c r="Y47" s="16">
        <v>45349</v>
      </c>
      <c r="Z47" s="19" t="s">
        <v>101</v>
      </c>
      <c r="AA47" s="18">
        <v>50</v>
      </c>
      <c r="AB47" s="17">
        <f t="shared" si="7"/>
        <v>29.761904761904763</v>
      </c>
      <c r="AC47" s="17">
        <f t="shared" si="8"/>
        <v>20.238095238095237</v>
      </c>
      <c r="AD47" s="18">
        <v>2</v>
      </c>
      <c r="AE47" s="18">
        <v>2.2000000000000002</v>
      </c>
      <c r="AF47" s="14" t="s">
        <v>102</v>
      </c>
      <c r="AG47" s="17">
        <f t="shared" si="10"/>
        <v>70.238095238095241</v>
      </c>
      <c r="AH47" s="18"/>
      <c r="AI47" s="15" t="s">
        <v>67</v>
      </c>
      <c r="AJ47" s="18"/>
      <c r="AK47" s="18">
        <v>1</v>
      </c>
      <c r="AL47" s="18"/>
      <c r="AM47" s="18"/>
      <c r="AN47" s="18" t="str">
        <f t="shared" si="3"/>
        <v>T2P1</v>
      </c>
      <c r="AO47" s="18"/>
      <c r="AP47" s="18"/>
      <c r="AQ47" s="15"/>
      <c r="AR47" s="18"/>
      <c r="AS47" s="18"/>
      <c r="AT47" s="18"/>
      <c r="AU47" s="18"/>
      <c r="AV47" s="15"/>
      <c r="AW47" s="18"/>
      <c r="AX47" s="18"/>
      <c r="AY47" s="18"/>
      <c r="AZ47" s="18"/>
      <c r="BA47" s="18"/>
    </row>
    <row r="48" spans="1:53" x14ac:dyDescent="0.25">
      <c r="A48" s="56" t="s">
        <v>294</v>
      </c>
      <c r="B48" s="18">
        <v>47</v>
      </c>
      <c r="C48" s="18">
        <v>1</v>
      </c>
      <c r="D48" s="56" t="s">
        <v>295</v>
      </c>
      <c r="E48" s="56" t="s">
        <v>55</v>
      </c>
      <c r="F48" s="56" t="s">
        <v>256</v>
      </c>
      <c r="G48" s="56" t="s">
        <v>55</v>
      </c>
      <c r="H48" s="56" t="s">
        <v>93</v>
      </c>
      <c r="I48" s="56">
        <v>3</v>
      </c>
      <c r="J48" s="56" t="s">
        <v>94</v>
      </c>
      <c r="K48" s="82" t="s">
        <v>95</v>
      </c>
      <c r="L48" s="146">
        <v>45344</v>
      </c>
      <c r="M48" s="82" t="s">
        <v>287</v>
      </c>
      <c r="N48" s="82" t="s">
        <v>288</v>
      </c>
      <c r="O48" s="56">
        <v>6</v>
      </c>
      <c r="P48" s="56">
        <v>9</v>
      </c>
      <c r="Q48" s="56" t="s">
        <v>296</v>
      </c>
      <c r="R48" s="56">
        <v>13</v>
      </c>
      <c r="S48" s="56">
        <v>20</v>
      </c>
      <c r="T48" s="56" t="s">
        <v>99</v>
      </c>
      <c r="U48" s="84" t="s">
        <v>64</v>
      </c>
      <c r="V48" s="84"/>
      <c r="W48" s="84" t="s">
        <v>290</v>
      </c>
      <c r="X48" s="15"/>
      <c r="Y48" s="83">
        <v>45349</v>
      </c>
      <c r="Z48" s="82" t="s">
        <v>297</v>
      </c>
      <c r="AA48" s="56">
        <v>50</v>
      </c>
      <c r="AB48" s="86">
        <f t="shared" si="7"/>
        <v>36.764705882352942</v>
      </c>
      <c r="AC48" s="86">
        <f t="shared" si="8"/>
        <v>13.235294117647058</v>
      </c>
      <c r="AD48" s="56">
        <v>2</v>
      </c>
      <c r="AE48" s="56">
        <v>1.96</v>
      </c>
      <c r="AF48" s="84" t="s">
        <v>102</v>
      </c>
      <c r="AG48" s="86">
        <f t="shared" si="10"/>
        <v>63.235294117647058</v>
      </c>
      <c r="AH48" s="56"/>
      <c r="AI48" s="85" t="s">
        <v>67</v>
      </c>
      <c r="AJ48" s="56"/>
      <c r="AK48" s="18">
        <v>1</v>
      </c>
      <c r="AL48" s="56"/>
      <c r="AM48" s="56"/>
      <c r="AN48" s="18" t="str">
        <f t="shared" si="3"/>
        <v>T3P1</v>
      </c>
      <c r="AO48" s="56"/>
      <c r="AP48" s="56"/>
      <c r="AQ48" s="85"/>
      <c r="AR48" s="56"/>
      <c r="AS48" s="56"/>
      <c r="AT48" s="56"/>
      <c r="AU48" s="56"/>
      <c r="AV48" s="85"/>
      <c r="AW48" s="56"/>
      <c r="AX48" s="56"/>
      <c r="AY48" s="56"/>
      <c r="AZ48" s="56"/>
      <c r="BA48" s="56"/>
    </row>
    <row r="49" spans="1:53" x14ac:dyDescent="0.25">
      <c r="A49" s="18" t="s">
        <v>298</v>
      </c>
      <c r="B49" s="18">
        <v>48</v>
      </c>
      <c r="C49" s="18">
        <v>1</v>
      </c>
      <c r="D49" s="18" t="s">
        <v>299</v>
      </c>
      <c r="E49" s="18" t="s">
        <v>55</v>
      </c>
      <c r="F49" s="18" t="s">
        <v>300</v>
      </c>
      <c r="G49" s="18" t="s">
        <v>114</v>
      </c>
      <c r="H49" s="18" t="s">
        <v>57</v>
      </c>
      <c r="I49" s="18">
        <v>1</v>
      </c>
      <c r="J49" s="18" t="s">
        <v>165</v>
      </c>
      <c r="K49" s="19" t="s">
        <v>59</v>
      </c>
      <c r="L49" s="13">
        <v>45350</v>
      </c>
      <c r="M49" s="19" t="s">
        <v>301</v>
      </c>
      <c r="N49" s="19" t="s">
        <v>302</v>
      </c>
      <c r="O49" s="18">
        <v>1</v>
      </c>
      <c r="P49" s="18">
        <v>1</v>
      </c>
      <c r="Q49" s="18" t="s">
        <v>117</v>
      </c>
      <c r="R49" s="18">
        <v>7</v>
      </c>
      <c r="S49" s="18">
        <v>20</v>
      </c>
      <c r="T49" s="18" t="s">
        <v>63</v>
      </c>
      <c r="U49" s="14" t="s">
        <v>64</v>
      </c>
      <c r="V49" s="14"/>
      <c r="W49" s="14"/>
      <c r="X49" s="41"/>
      <c r="Y49" s="16">
        <v>45357</v>
      </c>
      <c r="Z49" s="19" t="s">
        <v>303</v>
      </c>
      <c r="AA49" s="18">
        <v>50</v>
      </c>
      <c r="AB49" s="17">
        <f t="shared" si="7"/>
        <v>5.6179775280898872</v>
      </c>
      <c r="AC49" s="17">
        <f t="shared" si="8"/>
        <v>44.382022471910112</v>
      </c>
      <c r="AD49" s="18">
        <v>2</v>
      </c>
      <c r="AE49" s="18">
        <v>1.81</v>
      </c>
      <c r="AF49" s="14" t="s">
        <v>102</v>
      </c>
      <c r="AG49" s="17">
        <f t="shared" si="10"/>
        <v>94.382022471910119</v>
      </c>
      <c r="AH49" s="18"/>
      <c r="AI49" s="15" t="s">
        <v>67</v>
      </c>
      <c r="AJ49" s="18"/>
      <c r="AK49" s="18">
        <v>1</v>
      </c>
      <c r="AL49" s="18"/>
      <c r="AM49" s="18"/>
      <c r="AN49" s="18" t="str">
        <f t="shared" si="3"/>
        <v>H1L1</v>
      </c>
      <c r="AO49" s="18"/>
      <c r="AP49" s="18"/>
      <c r="AQ49" s="15"/>
      <c r="AR49" s="18"/>
      <c r="AS49" s="18"/>
      <c r="AT49" s="18"/>
      <c r="AU49" s="18"/>
      <c r="AV49" s="15"/>
      <c r="AW49" s="18"/>
      <c r="AX49" s="18"/>
      <c r="AY49" s="18"/>
      <c r="AZ49" s="18"/>
      <c r="BA49" s="18"/>
    </row>
    <row r="50" spans="1:53" x14ac:dyDescent="0.25">
      <c r="A50" s="18" t="s">
        <v>304</v>
      </c>
      <c r="B50" s="18">
        <v>49</v>
      </c>
      <c r="C50" s="18">
        <v>1</v>
      </c>
      <c r="D50" s="18" t="s">
        <v>305</v>
      </c>
      <c r="E50" s="18" t="s">
        <v>55</v>
      </c>
      <c r="F50" s="18" t="s">
        <v>300</v>
      </c>
      <c r="G50" s="18" t="s">
        <v>114</v>
      </c>
      <c r="H50" s="18" t="s">
        <v>70</v>
      </c>
      <c r="I50" s="18">
        <v>2</v>
      </c>
      <c r="J50" s="18" t="s">
        <v>165</v>
      </c>
      <c r="K50" s="19" t="s">
        <v>59</v>
      </c>
      <c r="L50" s="13">
        <v>45350</v>
      </c>
      <c r="M50" s="19" t="s">
        <v>301</v>
      </c>
      <c r="N50" s="19" t="s">
        <v>302</v>
      </c>
      <c r="O50" s="18">
        <v>1</v>
      </c>
      <c r="P50" s="18">
        <v>1</v>
      </c>
      <c r="Q50" s="18" t="s">
        <v>122</v>
      </c>
      <c r="R50" s="18">
        <v>7</v>
      </c>
      <c r="S50" s="18">
        <v>20</v>
      </c>
      <c r="T50" s="18" t="s">
        <v>63</v>
      </c>
      <c r="U50" s="14" t="s">
        <v>64</v>
      </c>
      <c r="V50" s="14"/>
      <c r="W50" s="14"/>
      <c r="X50" s="15"/>
      <c r="Y50" s="16">
        <v>45357</v>
      </c>
      <c r="Z50" s="19" t="s">
        <v>306</v>
      </c>
      <c r="AA50" s="18">
        <v>50</v>
      </c>
      <c r="AB50" s="17">
        <f t="shared" si="7"/>
        <v>6.8027210884353746</v>
      </c>
      <c r="AC50" s="17">
        <f t="shared" si="8"/>
        <v>43.197278911564624</v>
      </c>
      <c r="AD50" s="18">
        <v>2</v>
      </c>
      <c r="AE50" s="18">
        <v>2.02</v>
      </c>
      <c r="AF50" s="14" t="s">
        <v>102</v>
      </c>
      <c r="AG50" s="17">
        <f t="shared" si="10"/>
        <v>93.197278911564624</v>
      </c>
      <c r="AH50" s="18"/>
      <c r="AI50" s="15" t="s">
        <v>67</v>
      </c>
      <c r="AJ50" s="18"/>
      <c r="AK50" s="18">
        <v>1</v>
      </c>
      <c r="AL50" s="18"/>
      <c r="AM50" s="18"/>
      <c r="AN50" s="18" t="str">
        <f t="shared" si="3"/>
        <v>H2L1</v>
      </c>
      <c r="AO50" s="18"/>
      <c r="AP50" s="18"/>
      <c r="AQ50" s="15"/>
      <c r="AR50" s="18"/>
      <c r="AS50" s="18"/>
      <c r="AT50" s="18"/>
      <c r="AU50" s="18"/>
      <c r="AV50" s="15"/>
      <c r="AW50" s="18"/>
      <c r="AX50" s="18"/>
      <c r="AY50" s="18"/>
      <c r="AZ50" s="18"/>
      <c r="BA50" s="18"/>
    </row>
    <row r="51" spans="1:53" x14ac:dyDescent="0.25">
      <c r="A51" s="18" t="s">
        <v>307</v>
      </c>
      <c r="B51" s="18">
        <v>50</v>
      </c>
      <c r="C51" s="18">
        <v>1</v>
      </c>
      <c r="D51" s="18" t="s">
        <v>308</v>
      </c>
      <c r="E51" s="18" t="s">
        <v>55</v>
      </c>
      <c r="F51" s="18" t="s">
        <v>300</v>
      </c>
      <c r="G51" s="18" t="s">
        <v>114</v>
      </c>
      <c r="H51" s="18" t="s">
        <v>70</v>
      </c>
      <c r="I51" s="18">
        <v>3</v>
      </c>
      <c r="J51" s="18" t="s">
        <v>165</v>
      </c>
      <c r="K51" s="19" t="s">
        <v>59</v>
      </c>
      <c r="L51" s="13">
        <v>45350</v>
      </c>
      <c r="M51" s="19" t="s">
        <v>301</v>
      </c>
      <c r="N51" s="19" t="s">
        <v>302</v>
      </c>
      <c r="O51" s="18">
        <v>1</v>
      </c>
      <c r="P51" s="18">
        <v>1</v>
      </c>
      <c r="Q51" s="18" t="s">
        <v>309</v>
      </c>
      <c r="R51" s="18">
        <v>7</v>
      </c>
      <c r="S51" s="18">
        <v>20</v>
      </c>
      <c r="T51" s="18" t="s">
        <v>63</v>
      </c>
      <c r="U51" s="14" t="s">
        <v>64</v>
      </c>
      <c r="V51" s="14"/>
      <c r="W51" s="14"/>
      <c r="X51" s="15"/>
      <c r="Y51" s="16">
        <v>45357</v>
      </c>
      <c r="Z51" s="19" t="s">
        <v>134</v>
      </c>
      <c r="AA51" s="18">
        <v>50</v>
      </c>
      <c r="AB51" s="17">
        <f t="shared" si="7"/>
        <v>8.695652173913043</v>
      </c>
      <c r="AC51" s="17">
        <f t="shared" si="8"/>
        <v>41.304347826086953</v>
      </c>
      <c r="AD51" s="18">
        <v>2</v>
      </c>
      <c r="AE51" s="18">
        <v>2.04</v>
      </c>
      <c r="AF51" s="14" t="s">
        <v>102</v>
      </c>
      <c r="AG51" s="17">
        <f t="shared" si="10"/>
        <v>91.304347826086953</v>
      </c>
      <c r="AH51" s="18"/>
      <c r="AI51" s="15" t="s">
        <v>67</v>
      </c>
      <c r="AJ51" s="18"/>
      <c r="AK51" s="18">
        <v>1</v>
      </c>
      <c r="AL51" s="18"/>
      <c r="AM51" s="18"/>
      <c r="AN51" s="18" t="str">
        <f t="shared" si="3"/>
        <v>H3L1</v>
      </c>
      <c r="AO51" s="18"/>
      <c r="AP51" s="18"/>
      <c r="AQ51" s="15"/>
      <c r="AR51" s="18"/>
      <c r="AS51" s="18"/>
      <c r="AT51" s="18"/>
      <c r="AU51" s="18"/>
      <c r="AV51" s="15"/>
      <c r="AW51" s="18"/>
      <c r="AX51" s="18"/>
      <c r="AY51" s="18"/>
      <c r="AZ51" s="18"/>
      <c r="BA51" s="18"/>
    </row>
    <row r="52" spans="1:53" x14ac:dyDescent="0.25">
      <c r="A52" s="18" t="s">
        <v>310</v>
      </c>
      <c r="B52" s="18">
        <v>51</v>
      </c>
      <c r="C52" s="18">
        <v>1</v>
      </c>
      <c r="D52" s="18" t="s">
        <v>311</v>
      </c>
      <c r="E52" s="18" t="s">
        <v>55</v>
      </c>
      <c r="F52" s="18" t="s">
        <v>300</v>
      </c>
      <c r="G52" s="18" t="s">
        <v>114</v>
      </c>
      <c r="H52" s="18" t="s">
        <v>78</v>
      </c>
      <c r="I52" s="18">
        <v>1</v>
      </c>
      <c r="J52" s="18" t="s">
        <v>165</v>
      </c>
      <c r="K52" s="19" t="s">
        <v>59</v>
      </c>
      <c r="L52" s="13">
        <v>45350</v>
      </c>
      <c r="M52" s="19" t="s">
        <v>312</v>
      </c>
      <c r="N52" s="19" t="s">
        <v>313</v>
      </c>
      <c r="O52" s="18">
        <v>1</v>
      </c>
      <c r="P52" s="18">
        <v>1</v>
      </c>
      <c r="Q52" s="18" t="s">
        <v>314</v>
      </c>
      <c r="R52" s="18">
        <v>7</v>
      </c>
      <c r="S52" s="18">
        <v>20</v>
      </c>
      <c r="T52" s="18" t="s">
        <v>63</v>
      </c>
      <c r="U52" s="14" t="s">
        <v>64</v>
      </c>
      <c r="V52" s="14"/>
      <c r="W52" s="14"/>
      <c r="X52" s="15"/>
      <c r="Y52" s="16">
        <v>45357</v>
      </c>
      <c r="Z52" s="19" t="s">
        <v>173</v>
      </c>
      <c r="AA52" s="18">
        <v>50</v>
      </c>
      <c r="AB52" s="17">
        <f t="shared" si="7"/>
        <v>4.7619047619047619</v>
      </c>
      <c r="AC52" s="17">
        <f t="shared" si="8"/>
        <v>45.238095238095241</v>
      </c>
      <c r="AD52" s="18">
        <v>2</v>
      </c>
      <c r="AE52" s="49">
        <v>1.6</v>
      </c>
      <c r="AF52" s="14" t="s">
        <v>102</v>
      </c>
      <c r="AG52" s="17">
        <f t="shared" si="10"/>
        <v>95.238095238095241</v>
      </c>
      <c r="AH52" s="18"/>
      <c r="AI52" s="15" t="s">
        <v>67</v>
      </c>
      <c r="AJ52" s="18"/>
      <c r="AK52" s="18">
        <v>1</v>
      </c>
      <c r="AL52" s="18"/>
      <c r="AM52" s="18"/>
      <c r="AN52" s="18" t="str">
        <f t="shared" si="3"/>
        <v>H1F1</v>
      </c>
      <c r="AO52" s="18"/>
      <c r="AP52" s="18"/>
      <c r="AQ52" s="15"/>
      <c r="AR52" s="18"/>
      <c r="AS52" s="18"/>
      <c r="AT52" s="18"/>
      <c r="AU52" s="18"/>
      <c r="AV52" s="15"/>
      <c r="AW52" s="18"/>
      <c r="AX52" s="18"/>
      <c r="AY52" s="18"/>
      <c r="AZ52" s="18"/>
      <c r="BA52" s="18"/>
    </row>
    <row r="53" spans="1:53" x14ac:dyDescent="0.25">
      <c r="A53" s="18" t="s">
        <v>315</v>
      </c>
      <c r="B53" s="18">
        <v>52</v>
      </c>
      <c r="C53" s="18">
        <v>1</v>
      </c>
      <c r="D53" s="18" t="s">
        <v>316</v>
      </c>
      <c r="E53" s="18" t="s">
        <v>55</v>
      </c>
      <c r="F53" s="18" t="s">
        <v>300</v>
      </c>
      <c r="G53" s="18" t="s">
        <v>114</v>
      </c>
      <c r="H53" s="18" t="s">
        <v>78</v>
      </c>
      <c r="I53" s="18">
        <v>2</v>
      </c>
      <c r="J53" s="18" t="s">
        <v>165</v>
      </c>
      <c r="K53" s="19" t="s">
        <v>59</v>
      </c>
      <c r="L53" s="13">
        <v>45350</v>
      </c>
      <c r="M53" s="19" t="s">
        <v>312</v>
      </c>
      <c r="N53" s="19" t="s">
        <v>313</v>
      </c>
      <c r="O53" s="18">
        <v>1</v>
      </c>
      <c r="P53" s="18">
        <v>1</v>
      </c>
      <c r="Q53" s="18" t="s">
        <v>132</v>
      </c>
      <c r="R53" s="18">
        <v>7</v>
      </c>
      <c r="S53" s="18">
        <v>20</v>
      </c>
      <c r="T53" s="18" t="s">
        <v>63</v>
      </c>
      <c r="U53" s="14" t="s">
        <v>64</v>
      </c>
      <c r="V53" s="14"/>
      <c r="W53" s="14"/>
      <c r="X53" s="15"/>
      <c r="Y53" s="16">
        <v>45357</v>
      </c>
      <c r="Z53" s="19" t="s">
        <v>345</v>
      </c>
      <c r="AA53" s="18">
        <v>50</v>
      </c>
      <c r="AB53" s="17">
        <f t="shared" si="7"/>
        <v>9.7087378640776691</v>
      </c>
      <c r="AC53" s="17">
        <f t="shared" si="8"/>
        <v>40.291262135922331</v>
      </c>
      <c r="AD53" s="18">
        <v>2</v>
      </c>
      <c r="AE53" s="49">
        <v>1.49</v>
      </c>
      <c r="AF53" s="14" t="s">
        <v>102</v>
      </c>
      <c r="AG53" s="17">
        <f t="shared" si="10"/>
        <v>90.291262135922324</v>
      </c>
      <c r="AH53" s="18"/>
      <c r="AI53" s="15" t="s">
        <v>67</v>
      </c>
      <c r="AJ53" s="18"/>
      <c r="AK53" s="18">
        <v>1</v>
      </c>
      <c r="AL53" s="18"/>
      <c r="AM53" s="18"/>
      <c r="AN53" s="18" t="str">
        <f t="shared" si="3"/>
        <v>H2F1</v>
      </c>
      <c r="AO53" s="18"/>
      <c r="AP53" s="18"/>
      <c r="AQ53" s="15"/>
      <c r="AR53" s="18"/>
      <c r="AS53" s="18"/>
      <c r="AT53" s="18"/>
      <c r="AU53" s="18"/>
      <c r="AV53" s="15"/>
      <c r="AW53" s="18"/>
      <c r="AX53" s="18"/>
      <c r="AY53" s="18"/>
      <c r="AZ53" s="18"/>
      <c r="BA53" s="18"/>
    </row>
    <row r="54" spans="1:53" x14ac:dyDescent="0.25">
      <c r="A54" s="18" t="s">
        <v>317</v>
      </c>
      <c r="B54" s="18">
        <v>53</v>
      </c>
      <c r="C54" s="18">
        <v>1</v>
      </c>
      <c r="D54" s="18" t="s">
        <v>318</v>
      </c>
      <c r="E54" s="18" t="s">
        <v>55</v>
      </c>
      <c r="F54" s="18" t="s">
        <v>300</v>
      </c>
      <c r="G54" s="18" t="s">
        <v>114</v>
      </c>
      <c r="H54" s="18" t="s">
        <v>78</v>
      </c>
      <c r="I54" s="18">
        <v>3</v>
      </c>
      <c r="J54" s="18" t="s">
        <v>165</v>
      </c>
      <c r="K54" s="19" t="s">
        <v>59</v>
      </c>
      <c r="L54" s="13">
        <v>45350</v>
      </c>
      <c r="M54" s="19" t="s">
        <v>312</v>
      </c>
      <c r="N54" s="19" t="s">
        <v>313</v>
      </c>
      <c r="O54" s="18">
        <v>1</v>
      </c>
      <c r="P54" s="18">
        <v>1</v>
      </c>
      <c r="Q54" s="18" t="s">
        <v>319</v>
      </c>
      <c r="R54" s="18">
        <v>7</v>
      </c>
      <c r="S54" s="18">
        <v>20</v>
      </c>
      <c r="T54" s="18" t="s">
        <v>63</v>
      </c>
      <c r="U54" s="14" t="s">
        <v>64</v>
      </c>
      <c r="V54" s="14"/>
      <c r="W54" s="14"/>
      <c r="X54" s="15"/>
      <c r="Y54" s="16">
        <v>45357</v>
      </c>
      <c r="Z54" s="19" t="s">
        <v>231</v>
      </c>
      <c r="AA54" s="18">
        <v>50</v>
      </c>
      <c r="AB54" s="17">
        <f t="shared" si="7"/>
        <v>7.6923076923076925</v>
      </c>
      <c r="AC54" s="17">
        <f t="shared" si="8"/>
        <v>42.307692307692307</v>
      </c>
      <c r="AD54" s="18">
        <v>2</v>
      </c>
      <c r="AE54" s="18">
        <v>1.91</v>
      </c>
      <c r="AF54" s="14" t="s">
        <v>102</v>
      </c>
      <c r="AG54" s="17">
        <f t="shared" si="10"/>
        <v>92.307692307692307</v>
      </c>
      <c r="AH54" s="18"/>
      <c r="AI54" s="15" t="s">
        <v>67</v>
      </c>
      <c r="AJ54" s="18"/>
      <c r="AK54" s="18">
        <v>1</v>
      </c>
      <c r="AL54" s="18"/>
      <c r="AM54" s="18"/>
      <c r="AN54" s="18" t="str">
        <f t="shared" si="3"/>
        <v>H3F1</v>
      </c>
      <c r="AO54" s="18"/>
      <c r="AP54" s="18"/>
      <c r="AQ54" s="15"/>
      <c r="AR54" s="18"/>
      <c r="AS54" s="18"/>
      <c r="AT54" s="18"/>
      <c r="AU54" s="18"/>
      <c r="AV54" s="15"/>
      <c r="AW54" s="18"/>
      <c r="AX54" s="18"/>
      <c r="AY54" s="18"/>
      <c r="AZ54" s="18"/>
      <c r="BA54" s="18"/>
    </row>
    <row r="55" spans="1:53" x14ac:dyDescent="0.25">
      <c r="A55" s="18" t="s">
        <v>320</v>
      </c>
      <c r="B55" s="18">
        <v>54</v>
      </c>
      <c r="C55" s="18">
        <v>1</v>
      </c>
      <c r="D55" s="18" t="s">
        <v>321</v>
      </c>
      <c r="E55" s="18" t="s">
        <v>55</v>
      </c>
      <c r="F55" s="18" t="s">
        <v>300</v>
      </c>
      <c r="G55" s="18" t="s">
        <v>114</v>
      </c>
      <c r="H55" s="18" t="s">
        <v>93</v>
      </c>
      <c r="I55" s="18">
        <v>1</v>
      </c>
      <c r="J55" s="18" t="s">
        <v>165</v>
      </c>
      <c r="K55" s="19" t="s">
        <v>95</v>
      </c>
      <c r="L55" s="13">
        <v>45344</v>
      </c>
      <c r="M55" s="19" t="s">
        <v>322</v>
      </c>
      <c r="N55" s="19" t="s">
        <v>323</v>
      </c>
      <c r="O55" s="18">
        <v>5</v>
      </c>
      <c r="P55" s="18">
        <v>7</v>
      </c>
      <c r="Q55" s="18" t="s">
        <v>324</v>
      </c>
      <c r="R55" s="18">
        <v>22</v>
      </c>
      <c r="S55" s="18">
        <v>20</v>
      </c>
      <c r="T55" s="18" t="s">
        <v>99</v>
      </c>
      <c r="U55" s="14" t="s">
        <v>64</v>
      </c>
      <c r="V55" s="14"/>
      <c r="W55" s="14"/>
      <c r="X55" s="15"/>
      <c r="Y55" s="16">
        <v>45348</v>
      </c>
      <c r="Z55" s="19" t="s">
        <v>346</v>
      </c>
      <c r="AA55" s="18">
        <v>50</v>
      </c>
      <c r="AB55" s="17">
        <f t="shared" si="7"/>
        <v>12.658227848101266</v>
      </c>
      <c r="AC55" s="17">
        <f t="shared" si="8"/>
        <v>37.341772151898738</v>
      </c>
      <c r="AD55" s="18">
        <v>2</v>
      </c>
      <c r="AE55" s="49">
        <v>1.61</v>
      </c>
      <c r="AF55" s="14"/>
      <c r="AG55" s="17">
        <f t="shared" si="10"/>
        <v>87.341772151898738</v>
      </c>
      <c r="AH55" s="18"/>
      <c r="AI55" s="15" t="s">
        <v>67</v>
      </c>
      <c r="AJ55" s="18"/>
      <c r="AK55" s="18">
        <v>1</v>
      </c>
      <c r="AL55" s="18"/>
      <c r="AM55" s="18"/>
      <c r="AN55" s="18" t="str">
        <f t="shared" si="3"/>
        <v>H1P1</v>
      </c>
      <c r="AO55" s="18"/>
      <c r="AP55" s="18"/>
      <c r="AQ55" s="15"/>
      <c r="AR55" s="18"/>
      <c r="AS55" s="18"/>
      <c r="AT55" s="18"/>
      <c r="AU55" s="18"/>
      <c r="AV55" s="15"/>
      <c r="AW55" s="18"/>
      <c r="AX55" s="18"/>
      <c r="AY55" s="18"/>
      <c r="AZ55" s="18"/>
      <c r="BA55" s="18"/>
    </row>
    <row r="56" spans="1:53" x14ac:dyDescent="0.25">
      <c r="A56" s="18" t="s">
        <v>325</v>
      </c>
      <c r="B56" s="18">
        <v>55</v>
      </c>
      <c r="C56" s="18">
        <v>1</v>
      </c>
      <c r="D56" s="18" t="s">
        <v>326</v>
      </c>
      <c r="E56" s="18" t="s">
        <v>55</v>
      </c>
      <c r="F56" s="18" t="s">
        <v>300</v>
      </c>
      <c r="G56" s="18" t="s">
        <v>114</v>
      </c>
      <c r="H56" s="18" t="s">
        <v>93</v>
      </c>
      <c r="I56" s="18">
        <v>2</v>
      </c>
      <c r="J56" s="18" t="s">
        <v>94</v>
      </c>
      <c r="K56" s="19" t="s">
        <v>59</v>
      </c>
      <c r="L56" s="13">
        <v>45344</v>
      </c>
      <c r="M56" s="19" t="s">
        <v>322</v>
      </c>
      <c r="N56" s="19" t="s">
        <v>323</v>
      </c>
      <c r="O56" s="18">
        <v>5</v>
      </c>
      <c r="P56" s="18">
        <v>7</v>
      </c>
      <c r="Q56" s="18" t="s">
        <v>324</v>
      </c>
      <c r="R56" s="18">
        <v>22</v>
      </c>
      <c r="S56" s="18">
        <v>20</v>
      </c>
      <c r="T56" s="18" t="s">
        <v>99</v>
      </c>
      <c r="U56" s="14" t="s">
        <v>64</v>
      </c>
      <c r="V56" s="14"/>
      <c r="W56" s="14"/>
      <c r="X56" s="15"/>
      <c r="Y56" s="16">
        <v>45348</v>
      </c>
      <c r="Z56" s="19" t="s">
        <v>127</v>
      </c>
      <c r="AA56" s="18">
        <v>50</v>
      </c>
      <c r="AB56" s="17">
        <f t="shared" si="7"/>
        <v>22.421524663677129</v>
      </c>
      <c r="AC56" s="17">
        <f t="shared" si="8"/>
        <v>27.578475336322871</v>
      </c>
      <c r="AD56" s="18">
        <v>2</v>
      </c>
      <c r="AE56" s="49">
        <v>1.65</v>
      </c>
      <c r="AF56" s="14"/>
      <c r="AG56" s="17">
        <f t="shared" si="10"/>
        <v>77.578475336322867</v>
      </c>
      <c r="AH56" s="18"/>
      <c r="AI56" s="15" t="s">
        <v>67</v>
      </c>
      <c r="AJ56" s="18"/>
      <c r="AK56" s="18">
        <v>1</v>
      </c>
      <c r="AL56" s="18"/>
      <c r="AM56" s="18"/>
      <c r="AN56" s="18" t="str">
        <f t="shared" si="3"/>
        <v>H2P1</v>
      </c>
      <c r="AO56" s="18"/>
      <c r="AP56" s="18"/>
      <c r="AQ56" s="15"/>
      <c r="AR56" s="18"/>
      <c r="AS56" s="18"/>
      <c r="AT56" s="18"/>
      <c r="AU56" s="18"/>
      <c r="AV56" s="15"/>
      <c r="AW56" s="18"/>
      <c r="AX56" s="18"/>
      <c r="AY56" s="18"/>
      <c r="AZ56" s="18"/>
      <c r="BA56" s="18"/>
    </row>
    <row r="57" spans="1:53" x14ac:dyDescent="0.25">
      <c r="A57" s="18" t="s">
        <v>327</v>
      </c>
      <c r="B57" s="18">
        <v>56</v>
      </c>
      <c r="C57" s="18">
        <v>1</v>
      </c>
      <c r="D57" s="18" t="s">
        <v>328</v>
      </c>
      <c r="E57" s="18" t="s">
        <v>55</v>
      </c>
      <c r="F57" s="18" t="s">
        <v>300</v>
      </c>
      <c r="G57" s="18" t="s">
        <v>114</v>
      </c>
      <c r="H57" s="18" t="s">
        <v>93</v>
      </c>
      <c r="I57" s="18">
        <v>3</v>
      </c>
      <c r="J57" s="18" t="s">
        <v>94</v>
      </c>
      <c r="K57" s="19" t="s">
        <v>59</v>
      </c>
      <c r="L57" s="13">
        <v>45344</v>
      </c>
      <c r="M57" s="19" t="s">
        <v>322</v>
      </c>
      <c r="N57" s="19" t="s">
        <v>323</v>
      </c>
      <c r="O57" s="18">
        <v>5</v>
      </c>
      <c r="P57" s="18">
        <v>7</v>
      </c>
      <c r="Q57" s="18" t="s">
        <v>329</v>
      </c>
      <c r="R57" s="18">
        <v>8</v>
      </c>
      <c r="S57" s="18">
        <v>20</v>
      </c>
      <c r="T57" s="18" t="s">
        <v>99</v>
      </c>
      <c r="U57" s="14" t="s">
        <v>64</v>
      </c>
      <c r="V57" s="14"/>
      <c r="W57" s="14" t="s">
        <v>330</v>
      </c>
      <c r="X57" s="15"/>
      <c r="Y57" s="16">
        <v>45348</v>
      </c>
      <c r="Z57" s="19" t="s">
        <v>347</v>
      </c>
      <c r="AA57" s="18">
        <v>50</v>
      </c>
      <c r="AB57" s="17">
        <f t="shared" si="7"/>
        <v>5.1020408163265305</v>
      </c>
      <c r="AC57" s="17">
        <f t="shared" si="8"/>
        <v>44.897959183673471</v>
      </c>
      <c r="AD57" s="18">
        <v>2</v>
      </c>
      <c r="AE57" s="49">
        <v>1.26</v>
      </c>
      <c r="AF57" s="14"/>
      <c r="AG57" s="17">
        <f t="shared" si="10"/>
        <v>94.897959183673464</v>
      </c>
      <c r="AH57" s="18"/>
      <c r="AI57" s="15" t="s">
        <v>67</v>
      </c>
      <c r="AJ57" s="18"/>
      <c r="AK57" s="18">
        <v>1</v>
      </c>
      <c r="AL57" s="18"/>
      <c r="AM57" s="18"/>
      <c r="AN57" s="18" t="str">
        <f t="shared" si="3"/>
        <v>H3P1</v>
      </c>
      <c r="AO57" s="18"/>
      <c r="AP57" s="18"/>
      <c r="AQ57" s="15"/>
      <c r="AR57" s="18"/>
      <c r="AS57" s="18"/>
      <c r="AT57" s="18"/>
      <c r="AU57" s="18"/>
      <c r="AV57" s="15"/>
      <c r="AW57" s="18"/>
      <c r="AX57" s="18"/>
      <c r="AY57" s="18"/>
      <c r="AZ57" s="18"/>
      <c r="BA57" s="18"/>
    </row>
    <row r="58" spans="1:53" x14ac:dyDescent="0.25">
      <c r="A58" s="28" t="s">
        <v>331</v>
      </c>
      <c r="B58" s="18">
        <v>57</v>
      </c>
      <c r="C58" s="18">
        <v>1</v>
      </c>
      <c r="D58" s="28" t="s">
        <v>332</v>
      </c>
      <c r="E58" s="28" t="s">
        <v>55</v>
      </c>
      <c r="F58" s="28" t="s">
        <v>300</v>
      </c>
      <c r="G58" s="28" t="s">
        <v>114</v>
      </c>
      <c r="H58" s="28" t="s">
        <v>93</v>
      </c>
      <c r="I58" s="28" t="s">
        <v>159</v>
      </c>
      <c r="J58" s="28" t="s">
        <v>165</v>
      </c>
      <c r="K58" s="22" t="s">
        <v>95</v>
      </c>
      <c r="L58" s="23">
        <v>45344</v>
      </c>
      <c r="M58" s="22" t="s">
        <v>322</v>
      </c>
      <c r="N58" s="22" t="s">
        <v>323</v>
      </c>
      <c r="O58" s="28"/>
      <c r="P58" s="28"/>
      <c r="Q58" s="28" t="s">
        <v>333</v>
      </c>
      <c r="R58" s="28"/>
      <c r="S58" s="28">
        <v>1.5</v>
      </c>
      <c r="T58" s="28" t="s">
        <v>99</v>
      </c>
      <c r="U58" s="24" t="s">
        <v>64</v>
      </c>
      <c r="V58" s="24"/>
      <c r="W58" s="24"/>
      <c r="X58" s="25"/>
      <c r="Y58" s="26">
        <v>45348</v>
      </c>
      <c r="Z58" s="22" t="s">
        <v>334</v>
      </c>
      <c r="AA58" s="30">
        <v>50</v>
      </c>
      <c r="AB58" s="31">
        <v>20</v>
      </c>
      <c r="AC58" s="31">
        <v>0</v>
      </c>
      <c r="AD58" s="30">
        <v>2</v>
      </c>
      <c r="AE58" s="28">
        <v>1.01</v>
      </c>
      <c r="AF58" s="24"/>
      <c r="AG58" s="28">
        <v>80</v>
      </c>
      <c r="AH58" s="28"/>
      <c r="AI58" s="25" t="s">
        <v>67</v>
      </c>
      <c r="AJ58" s="28"/>
      <c r="AK58" s="18">
        <v>1</v>
      </c>
      <c r="AL58" s="28"/>
      <c r="AM58" s="28"/>
      <c r="AN58" s="18" t="str">
        <f t="shared" si="3"/>
        <v>HBP1</v>
      </c>
      <c r="AO58" s="28"/>
      <c r="AP58" s="28"/>
      <c r="AQ58" s="25"/>
      <c r="AR58" s="28"/>
      <c r="AS58" s="28"/>
      <c r="AT58" s="28"/>
      <c r="AU58" s="28"/>
      <c r="AV58" s="25"/>
      <c r="AW58" s="28"/>
      <c r="AX58" s="28"/>
      <c r="AY58" s="28"/>
      <c r="AZ58" s="28"/>
      <c r="BA58" s="28"/>
    </row>
    <row r="59" spans="1:53" x14ac:dyDescent="0.25">
      <c r="A59" s="18" t="s">
        <v>53</v>
      </c>
      <c r="B59" s="18">
        <v>1</v>
      </c>
      <c r="C59" s="18">
        <v>2</v>
      </c>
      <c r="K59" s="42"/>
      <c r="L59" s="43"/>
      <c r="M59" s="42"/>
      <c r="N59" s="42"/>
      <c r="U59" s="44"/>
      <c r="V59" s="44"/>
      <c r="W59" s="44"/>
      <c r="X59" s="45"/>
      <c r="Y59" s="148"/>
      <c r="Z59" s="42"/>
      <c r="AA59" s="18"/>
      <c r="AB59" s="17"/>
      <c r="AC59" s="17"/>
      <c r="AE59" s="46"/>
      <c r="AF59" s="44"/>
      <c r="AI59" s="45"/>
      <c r="AK59" s="18">
        <v>2</v>
      </c>
      <c r="AN59" s="18" t="str">
        <f t="shared" si="3"/>
        <v>M1L2</v>
      </c>
      <c r="AQ59" s="45"/>
      <c r="AV59" s="45"/>
    </row>
    <row r="60" spans="1:53" x14ac:dyDescent="0.25">
      <c r="A60" s="18" t="s">
        <v>68</v>
      </c>
      <c r="B60" s="18">
        <v>2</v>
      </c>
      <c r="C60" s="18">
        <v>2</v>
      </c>
      <c r="K60" s="42"/>
      <c r="L60" s="43"/>
      <c r="M60" s="42"/>
      <c r="N60" s="42"/>
      <c r="U60" s="44"/>
      <c r="V60" s="44"/>
      <c r="W60" s="44"/>
      <c r="X60" s="45"/>
      <c r="Y60" s="148"/>
      <c r="Z60" s="42"/>
      <c r="AA60" s="18"/>
      <c r="AB60" s="17"/>
      <c r="AC60" s="17"/>
      <c r="AE60" s="46"/>
      <c r="AF60" s="44"/>
      <c r="AI60" s="45"/>
      <c r="AK60" s="18">
        <v>2</v>
      </c>
      <c r="AN60" s="18" t="str">
        <f t="shared" si="3"/>
        <v>M2L2</v>
      </c>
      <c r="AQ60" s="45"/>
      <c r="AV60" s="45"/>
    </row>
    <row r="61" spans="1:53" x14ac:dyDescent="0.25">
      <c r="A61" s="18" t="s">
        <v>72</v>
      </c>
      <c r="B61" s="18">
        <v>3</v>
      </c>
      <c r="C61" s="18">
        <v>2</v>
      </c>
      <c r="K61" s="42"/>
      <c r="L61" s="43"/>
      <c r="M61" s="42"/>
      <c r="N61" s="42"/>
      <c r="U61" s="44"/>
      <c r="V61" s="44"/>
      <c r="W61" s="44"/>
      <c r="X61" s="45"/>
      <c r="Y61" s="148"/>
      <c r="Z61" s="42"/>
      <c r="AA61" s="18"/>
      <c r="AB61" s="17"/>
      <c r="AC61" s="17"/>
      <c r="AE61" s="46"/>
      <c r="AF61" s="44"/>
      <c r="AI61" s="45"/>
      <c r="AK61" s="18">
        <v>2</v>
      </c>
      <c r="AN61" s="18" t="str">
        <f t="shared" si="3"/>
        <v>M3L2</v>
      </c>
      <c r="AQ61" s="45"/>
      <c r="AV61" s="45"/>
    </row>
    <row r="62" spans="1:53" x14ac:dyDescent="0.25">
      <c r="A62" s="18" t="s">
        <v>76</v>
      </c>
      <c r="B62" s="18">
        <v>4</v>
      </c>
      <c r="C62" s="18">
        <v>2</v>
      </c>
      <c r="K62" s="42"/>
      <c r="L62" s="43"/>
      <c r="M62" s="42"/>
      <c r="N62" s="42"/>
      <c r="U62" s="44"/>
      <c r="V62" s="44"/>
      <c r="W62" s="44"/>
      <c r="X62" s="45"/>
      <c r="Y62" s="148"/>
      <c r="Z62" s="42"/>
      <c r="AA62" s="18"/>
      <c r="AB62" s="17"/>
      <c r="AC62" s="17"/>
      <c r="AE62" s="46"/>
      <c r="AF62" s="44"/>
      <c r="AI62" s="45"/>
      <c r="AK62" s="18">
        <v>2</v>
      </c>
      <c r="AN62" s="18" t="str">
        <f t="shared" si="3"/>
        <v>M1F2</v>
      </c>
      <c r="AQ62" s="45"/>
      <c r="AV62" s="45"/>
    </row>
    <row r="63" spans="1:53" x14ac:dyDescent="0.25">
      <c r="A63" s="18" t="s">
        <v>84</v>
      </c>
      <c r="B63" s="18">
        <v>5</v>
      </c>
      <c r="C63" s="18">
        <v>2</v>
      </c>
      <c r="K63" s="42"/>
      <c r="L63" s="43"/>
      <c r="M63" s="42"/>
      <c r="N63" s="42"/>
      <c r="U63" s="44"/>
      <c r="V63" s="44"/>
      <c r="W63" s="44"/>
      <c r="X63" s="45"/>
      <c r="Y63" s="148"/>
      <c r="Z63" s="42"/>
      <c r="AA63" s="18"/>
      <c r="AB63" s="17"/>
      <c r="AC63" s="17"/>
      <c r="AE63" s="46"/>
      <c r="AF63" s="44"/>
      <c r="AI63" s="45"/>
      <c r="AK63" s="18">
        <v>2</v>
      </c>
      <c r="AN63" s="18" t="str">
        <f t="shared" si="3"/>
        <v>M2F2</v>
      </c>
      <c r="AQ63" s="45"/>
      <c r="AV63" s="45"/>
    </row>
    <row r="64" spans="1:53" x14ac:dyDescent="0.25">
      <c r="A64" s="18" t="s">
        <v>88</v>
      </c>
      <c r="B64" s="18">
        <v>6</v>
      </c>
      <c r="C64" s="18">
        <v>2</v>
      </c>
      <c r="D64" s="20"/>
      <c r="E64" s="20"/>
      <c r="F64" s="20"/>
      <c r="G64" s="20"/>
      <c r="H64" s="20"/>
      <c r="I64" s="20"/>
      <c r="J64" s="20"/>
      <c r="K64" s="42"/>
      <c r="L64" s="43"/>
      <c r="M64" s="42"/>
      <c r="N64" s="42"/>
      <c r="O64" s="20"/>
      <c r="P64" s="20"/>
      <c r="Q64" s="20"/>
      <c r="R64" s="20"/>
      <c r="S64" s="20"/>
      <c r="T64" s="20"/>
      <c r="U64" s="44"/>
      <c r="V64" s="44"/>
      <c r="W64" s="44"/>
      <c r="X64" s="45"/>
      <c r="Y64" s="47"/>
      <c r="Z64" s="42"/>
      <c r="AA64" s="18"/>
      <c r="AB64" s="17"/>
      <c r="AC64" s="17"/>
      <c r="AD64" s="20"/>
      <c r="AE64" s="46"/>
      <c r="AF64" s="44"/>
      <c r="AG64" s="20"/>
      <c r="AH64" s="20"/>
      <c r="AI64" s="45"/>
      <c r="AJ64" s="20"/>
      <c r="AK64" s="18">
        <v>2</v>
      </c>
      <c r="AL64" s="20"/>
      <c r="AM64" s="20"/>
      <c r="AN64" s="18" t="str">
        <f t="shared" si="3"/>
        <v>M3F2</v>
      </c>
      <c r="AO64" s="20"/>
      <c r="AP64" s="20"/>
      <c r="AQ64" s="45"/>
      <c r="AR64" s="20"/>
      <c r="AS64" s="20"/>
      <c r="AT64" s="20"/>
      <c r="AU64" s="20"/>
      <c r="AV64" s="45"/>
      <c r="AW64" s="20"/>
      <c r="AX64" s="20"/>
      <c r="AY64" s="20"/>
      <c r="AZ64" s="20"/>
      <c r="BA64" s="20"/>
    </row>
    <row r="65" spans="1:53" x14ac:dyDescent="0.25">
      <c r="A65" s="18" t="s">
        <v>91</v>
      </c>
      <c r="B65" s="18">
        <v>7</v>
      </c>
      <c r="C65" s="18">
        <v>2</v>
      </c>
      <c r="K65" s="42"/>
      <c r="L65" s="43"/>
      <c r="M65" s="42"/>
      <c r="N65" s="42"/>
      <c r="U65" s="44"/>
      <c r="V65" s="44"/>
      <c r="W65" s="44"/>
      <c r="X65" s="45"/>
      <c r="Y65" s="148"/>
      <c r="Z65" s="42"/>
      <c r="AA65" s="18"/>
      <c r="AB65" s="17"/>
      <c r="AC65" s="17"/>
      <c r="AE65" s="46"/>
      <c r="AF65" s="44"/>
      <c r="AI65" s="45"/>
      <c r="AK65" s="18">
        <v>2</v>
      </c>
      <c r="AN65" s="18" t="str">
        <f t="shared" si="3"/>
        <v>M1P2</v>
      </c>
      <c r="AQ65" s="45"/>
      <c r="AV65" s="45"/>
    </row>
    <row r="66" spans="1:53" x14ac:dyDescent="0.25">
      <c r="A66" s="18" t="s">
        <v>103</v>
      </c>
      <c r="B66" s="18">
        <v>8</v>
      </c>
      <c r="C66" s="18">
        <v>2</v>
      </c>
      <c r="K66" s="42"/>
      <c r="L66" s="43"/>
      <c r="M66" s="42"/>
      <c r="N66" s="42"/>
      <c r="U66" s="44"/>
      <c r="V66" s="44"/>
      <c r="W66" s="44"/>
      <c r="X66" s="45"/>
      <c r="Y66" s="148"/>
      <c r="Z66" s="42"/>
      <c r="AA66" s="18"/>
      <c r="AB66" s="17"/>
      <c r="AC66" s="17"/>
      <c r="AE66" s="46"/>
      <c r="AF66" s="44"/>
      <c r="AI66" s="45"/>
      <c r="AK66" s="18">
        <v>2</v>
      </c>
      <c r="AN66" s="18" t="str">
        <f t="shared" si="3"/>
        <v>M2P2</v>
      </c>
      <c r="AQ66" s="45"/>
      <c r="AV66" s="45"/>
    </row>
    <row r="67" spans="1:53" x14ac:dyDescent="0.25">
      <c r="A67" s="56" t="s">
        <v>107</v>
      </c>
      <c r="B67" s="18">
        <v>9</v>
      </c>
      <c r="C67" s="18">
        <v>2</v>
      </c>
      <c r="K67" s="42"/>
      <c r="L67" s="43"/>
      <c r="M67" s="42"/>
      <c r="N67" s="42"/>
      <c r="U67" s="44"/>
      <c r="V67" s="44"/>
      <c r="W67" s="44"/>
      <c r="X67" s="45"/>
      <c r="Y67" s="148"/>
      <c r="Z67" s="42"/>
      <c r="AA67" s="18"/>
      <c r="AB67" s="17"/>
      <c r="AC67" s="17"/>
      <c r="AE67" s="46"/>
      <c r="AF67" s="44"/>
      <c r="AI67" s="45"/>
      <c r="AK67" s="18">
        <v>2</v>
      </c>
      <c r="AN67" s="18" t="str">
        <f t="shared" si="3"/>
        <v>M3P2</v>
      </c>
      <c r="AQ67" s="45"/>
      <c r="AV67" s="45"/>
    </row>
    <row r="68" spans="1:53" x14ac:dyDescent="0.25">
      <c r="A68" s="18" t="s">
        <v>111</v>
      </c>
      <c r="B68" s="18">
        <v>10</v>
      </c>
      <c r="C68" s="18">
        <v>2</v>
      </c>
      <c r="D68" s="20"/>
      <c r="E68" s="20"/>
      <c r="F68" s="20"/>
      <c r="G68" s="20"/>
      <c r="H68" s="20"/>
      <c r="I68" s="20"/>
      <c r="J68" s="20"/>
      <c r="K68" s="42"/>
      <c r="L68" s="43"/>
      <c r="M68" s="42"/>
      <c r="N68" s="42"/>
      <c r="O68" s="20"/>
      <c r="P68" s="20"/>
      <c r="Q68" s="20"/>
      <c r="R68" s="20"/>
      <c r="S68" s="20"/>
      <c r="T68" s="20"/>
      <c r="U68" s="44"/>
      <c r="V68" s="44"/>
      <c r="W68" s="44"/>
      <c r="X68" s="45"/>
      <c r="Y68" s="47"/>
      <c r="Z68" s="42"/>
      <c r="AA68" s="18"/>
      <c r="AB68" s="17"/>
      <c r="AC68" s="17"/>
      <c r="AD68" s="20"/>
      <c r="AE68" s="46"/>
      <c r="AF68" s="44"/>
      <c r="AG68" s="20"/>
      <c r="AH68" s="20"/>
      <c r="AI68" s="45"/>
      <c r="AJ68" s="20"/>
      <c r="AK68" s="18">
        <v>2</v>
      </c>
      <c r="AL68" s="20"/>
      <c r="AM68" s="20"/>
      <c r="AN68" s="18" t="str">
        <f t="shared" si="3"/>
        <v>A1L2</v>
      </c>
      <c r="AO68" s="20"/>
      <c r="AP68" s="20"/>
      <c r="AQ68" s="45"/>
      <c r="AR68" s="20"/>
      <c r="AS68" s="20"/>
      <c r="AT68" s="20"/>
      <c r="AU68" s="20"/>
      <c r="AV68" s="45"/>
      <c r="AW68" s="20"/>
      <c r="AX68" s="20"/>
      <c r="AY68" s="20"/>
      <c r="AZ68" s="20"/>
      <c r="BA68" s="20"/>
    </row>
    <row r="69" spans="1:53" x14ac:dyDescent="0.25">
      <c r="A69" s="18" t="s">
        <v>120</v>
      </c>
      <c r="B69" s="18">
        <v>11</v>
      </c>
      <c r="C69" s="18">
        <v>2</v>
      </c>
      <c r="K69" s="42"/>
      <c r="L69" s="43"/>
      <c r="M69" s="42"/>
      <c r="N69" s="42"/>
      <c r="U69" s="44"/>
      <c r="V69" s="44"/>
      <c r="W69" s="44"/>
      <c r="X69" s="45"/>
      <c r="Y69" s="148"/>
      <c r="Z69" s="42"/>
      <c r="AA69" s="18"/>
      <c r="AB69" s="17"/>
      <c r="AC69" s="17"/>
      <c r="AE69" s="46"/>
      <c r="AF69" s="44"/>
      <c r="AI69" s="45"/>
      <c r="AK69" s="18">
        <v>2</v>
      </c>
      <c r="AN69" s="18" t="str">
        <f t="shared" si="3"/>
        <v>A2L2</v>
      </c>
      <c r="AQ69" s="45"/>
      <c r="AV69" s="45"/>
    </row>
    <row r="70" spans="1:53" x14ac:dyDescent="0.25">
      <c r="A70" s="18" t="s">
        <v>124</v>
      </c>
      <c r="B70" s="18">
        <v>12</v>
      </c>
      <c r="C70" s="18">
        <v>2</v>
      </c>
      <c r="K70" s="42"/>
      <c r="L70" s="43"/>
      <c r="M70" s="42"/>
      <c r="N70" s="42"/>
      <c r="U70" s="44"/>
      <c r="V70" s="44"/>
      <c r="W70" s="44"/>
      <c r="X70" s="45"/>
      <c r="Y70" s="148"/>
      <c r="Z70" s="42"/>
      <c r="AA70" s="18"/>
      <c r="AB70" s="17"/>
      <c r="AC70" s="17"/>
      <c r="AE70" s="46"/>
      <c r="AF70" s="44"/>
      <c r="AI70" s="45"/>
      <c r="AK70" s="18">
        <v>2</v>
      </c>
      <c r="AN70" s="18" t="str">
        <f t="shared" si="3"/>
        <v>A3L2</v>
      </c>
      <c r="AQ70" s="45"/>
      <c r="AV70" s="45"/>
    </row>
    <row r="71" spans="1:53" x14ac:dyDescent="0.25">
      <c r="A71" s="18" t="s">
        <v>128</v>
      </c>
      <c r="B71" s="18">
        <v>13</v>
      </c>
      <c r="C71" s="18">
        <v>2</v>
      </c>
      <c r="D71" s="20"/>
      <c r="E71" s="20"/>
      <c r="F71" s="20"/>
      <c r="G71" s="20"/>
      <c r="H71" s="20"/>
      <c r="I71" s="20"/>
      <c r="J71" s="20"/>
      <c r="K71" s="42"/>
      <c r="L71" s="43"/>
      <c r="M71" s="42"/>
      <c r="N71" s="42"/>
      <c r="O71" s="20"/>
      <c r="P71" s="20"/>
      <c r="Q71" s="20"/>
      <c r="R71" s="20"/>
      <c r="S71" s="20"/>
      <c r="T71" s="20"/>
      <c r="U71" s="44"/>
      <c r="V71" s="44"/>
      <c r="W71" s="44"/>
      <c r="X71" s="45"/>
      <c r="Y71" s="47"/>
      <c r="Z71" s="42"/>
      <c r="AA71" s="18"/>
      <c r="AB71" s="17"/>
      <c r="AC71" s="17"/>
      <c r="AD71" s="20"/>
      <c r="AE71" s="46"/>
      <c r="AF71" s="44"/>
      <c r="AG71" s="20"/>
      <c r="AH71" s="20"/>
      <c r="AI71" s="45"/>
      <c r="AJ71" s="20"/>
      <c r="AK71" s="18">
        <v>2</v>
      </c>
      <c r="AL71" s="20"/>
      <c r="AM71" s="20"/>
      <c r="AN71" s="18" t="str">
        <f t="shared" si="3"/>
        <v>A1F2</v>
      </c>
      <c r="AO71" s="20"/>
      <c r="AP71" s="20"/>
      <c r="AQ71" s="45"/>
      <c r="AR71" s="20"/>
      <c r="AS71" s="20"/>
      <c r="AT71" s="20"/>
      <c r="AU71" s="20"/>
      <c r="AV71" s="45"/>
      <c r="AW71" s="20"/>
      <c r="AX71" s="20"/>
      <c r="AY71" s="20"/>
      <c r="AZ71" s="20"/>
      <c r="BA71" s="20"/>
    </row>
    <row r="72" spans="1:53" x14ac:dyDescent="0.25">
      <c r="A72" s="18" t="s">
        <v>135</v>
      </c>
      <c r="B72" s="18">
        <v>14</v>
      </c>
      <c r="C72" s="18">
        <v>2</v>
      </c>
      <c r="K72" s="42"/>
      <c r="L72" s="43"/>
      <c r="M72" s="42"/>
      <c r="N72" s="42"/>
      <c r="U72" s="44"/>
      <c r="V72" s="44"/>
      <c r="W72" s="44"/>
      <c r="X72" s="45"/>
      <c r="Y72" s="148"/>
      <c r="Z72" s="42"/>
      <c r="AA72" s="18"/>
      <c r="AB72" s="17"/>
      <c r="AC72" s="17"/>
      <c r="AE72" s="46"/>
      <c r="AF72" s="44"/>
      <c r="AI72" s="45"/>
      <c r="AK72" s="18">
        <v>2</v>
      </c>
      <c r="AN72" s="18" t="str">
        <f t="shared" si="3"/>
        <v>A2F2</v>
      </c>
      <c r="AQ72" s="45"/>
      <c r="AV72" s="45"/>
    </row>
    <row r="73" spans="1:53" x14ac:dyDescent="0.25">
      <c r="A73" s="18" t="s">
        <v>140</v>
      </c>
      <c r="B73" s="18">
        <v>15</v>
      </c>
      <c r="C73" s="18">
        <v>2</v>
      </c>
      <c r="K73" s="42"/>
      <c r="L73" s="43"/>
      <c r="M73" s="42"/>
      <c r="N73" s="42"/>
      <c r="U73" s="44"/>
      <c r="V73" s="44"/>
      <c r="W73" s="44"/>
      <c r="X73" s="45"/>
      <c r="Y73" s="148"/>
      <c r="Z73" s="42"/>
      <c r="AA73" s="18"/>
      <c r="AB73" s="17"/>
      <c r="AC73" s="17"/>
      <c r="AE73" s="46"/>
      <c r="AF73" s="44"/>
      <c r="AI73" s="45"/>
      <c r="AK73" s="18">
        <v>2</v>
      </c>
      <c r="AN73" s="18" t="str">
        <f t="shared" si="3"/>
        <v>A3F2</v>
      </c>
      <c r="AQ73" s="45"/>
      <c r="AV73" s="45"/>
    </row>
    <row r="74" spans="1:53" x14ac:dyDescent="0.25">
      <c r="A74" s="18" t="s">
        <v>145</v>
      </c>
      <c r="B74" s="18">
        <v>16</v>
      </c>
      <c r="C74" s="18">
        <v>2</v>
      </c>
      <c r="D74" s="20"/>
      <c r="E74" s="20"/>
      <c r="F74" s="20"/>
      <c r="G74" s="20"/>
      <c r="H74" s="20"/>
      <c r="I74" s="20"/>
      <c r="J74" s="20"/>
      <c r="K74" s="42"/>
      <c r="L74" s="43"/>
      <c r="M74" s="42"/>
      <c r="N74" s="42"/>
      <c r="O74" s="20"/>
      <c r="P74" s="20"/>
      <c r="Q74" s="20"/>
      <c r="R74" s="20"/>
      <c r="S74" s="20"/>
      <c r="T74" s="20"/>
      <c r="U74" s="44"/>
      <c r="V74" s="44"/>
      <c r="W74" s="44"/>
      <c r="X74" s="45"/>
      <c r="Y74" s="47"/>
      <c r="Z74" s="42"/>
      <c r="AA74" s="18"/>
      <c r="AB74" s="17"/>
      <c r="AC74" s="17"/>
      <c r="AD74" s="20"/>
      <c r="AE74" s="46"/>
      <c r="AF74" s="44"/>
      <c r="AG74" s="20"/>
      <c r="AH74" s="20"/>
      <c r="AI74" s="45"/>
      <c r="AJ74" s="20"/>
      <c r="AK74" s="18">
        <v>2</v>
      </c>
      <c r="AL74" s="20"/>
      <c r="AM74" s="20"/>
      <c r="AN74" s="18" t="str">
        <f t="shared" si="3"/>
        <v>A1P2</v>
      </c>
      <c r="AO74" s="20"/>
      <c r="AP74" s="20"/>
      <c r="AQ74" s="45"/>
      <c r="AR74" s="20"/>
      <c r="AS74" s="20"/>
      <c r="AT74" s="20"/>
      <c r="AU74" s="20"/>
      <c r="AV74" s="45"/>
      <c r="AW74" s="20"/>
      <c r="AX74" s="20"/>
      <c r="AY74" s="20"/>
      <c r="AZ74" s="20"/>
      <c r="BA74" s="20"/>
    </row>
    <row r="75" spans="1:53" x14ac:dyDescent="0.25">
      <c r="A75" s="18" t="s">
        <v>150</v>
      </c>
      <c r="B75" s="18">
        <v>17</v>
      </c>
      <c r="C75" s="18">
        <v>2</v>
      </c>
      <c r="K75" s="42"/>
      <c r="L75" s="43"/>
      <c r="M75" s="42"/>
      <c r="N75" s="42"/>
      <c r="U75" s="44"/>
      <c r="V75" s="44"/>
      <c r="W75" s="44"/>
      <c r="X75" s="45"/>
      <c r="Y75" s="148"/>
      <c r="Z75" s="42"/>
      <c r="AA75" s="18"/>
      <c r="AB75" s="17"/>
      <c r="AC75" s="17"/>
      <c r="AE75" s="46"/>
      <c r="AF75" s="44"/>
      <c r="AI75" s="45"/>
      <c r="AK75" s="18">
        <v>2</v>
      </c>
      <c r="AN75" s="18" t="str">
        <f t="shared" si="3"/>
        <v>A2P2</v>
      </c>
      <c r="AQ75" s="45"/>
      <c r="AV75" s="45"/>
    </row>
    <row r="76" spans="1:53" x14ac:dyDescent="0.25">
      <c r="A76" s="18" t="s">
        <v>154</v>
      </c>
      <c r="B76" s="18">
        <v>18</v>
      </c>
      <c r="C76" s="18">
        <v>2</v>
      </c>
      <c r="K76" s="42"/>
      <c r="L76" s="43"/>
      <c r="M76" s="42"/>
      <c r="N76" s="42"/>
      <c r="U76" s="44"/>
      <c r="V76" s="44"/>
      <c r="W76" s="44"/>
      <c r="X76" s="45"/>
      <c r="Y76" s="148"/>
      <c r="Z76" s="42"/>
      <c r="AA76" s="18"/>
      <c r="AB76" s="17"/>
      <c r="AC76" s="17"/>
      <c r="AE76" s="46"/>
      <c r="AF76" s="44"/>
      <c r="AI76" s="45"/>
      <c r="AK76" s="18">
        <v>2</v>
      </c>
      <c r="AN76" s="18" t="str">
        <f t="shared" si="3"/>
        <v>A3P2</v>
      </c>
      <c r="AQ76" s="45"/>
      <c r="AV76" s="45"/>
    </row>
    <row r="77" spans="1:53" x14ac:dyDescent="0.25">
      <c r="A77" s="28" t="s">
        <v>157</v>
      </c>
      <c r="B77" s="18">
        <v>19</v>
      </c>
      <c r="C77" s="18">
        <v>2</v>
      </c>
      <c r="D77" s="20"/>
      <c r="E77" s="20"/>
      <c r="F77" s="20"/>
      <c r="G77" s="20"/>
      <c r="H77" s="20"/>
      <c r="I77" s="20"/>
      <c r="J77" s="20"/>
      <c r="K77" s="42"/>
      <c r="L77" s="43"/>
      <c r="M77" s="42"/>
      <c r="N77" s="42"/>
      <c r="O77" s="20"/>
      <c r="P77" s="20"/>
      <c r="Q77" s="20"/>
      <c r="R77" s="20"/>
      <c r="S77" s="20"/>
      <c r="T77" s="20"/>
      <c r="U77" s="44"/>
      <c r="V77" s="44"/>
      <c r="W77" s="44"/>
      <c r="X77" s="45"/>
      <c r="Y77" s="47"/>
      <c r="Z77" s="42"/>
      <c r="AA77" s="18"/>
      <c r="AB77" s="17"/>
      <c r="AC77" s="17"/>
      <c r="AD77" s="20"/>
      <c r="AE77" s="46"/>
      <c r="AF77" s="44"/>
      <c r="AG77" s="20"/>
      <c r="AH77" s="20"/>
      <c r="AI77" s="45"/>
      <c r="AJ77" s="20"/>
      <c r="AK77" s="18">
        <v>2</v>
      </c>
      <c r="AL77" s="20"/>
      <c r="AM77" s="20"/>
      <c r="AN77" s="18" t="str">
        <f t="shared" si="3"/>
        <v>ABP2</v>
      </c>
      <c r="AO77" s="20"/>
      <c r="AP77" s="20"/>
      <c r="AQ77" s="45"/>
      <c r="AR77" s="20"/>
      <c r="AS77" s="20"/>
      <c r="AT77" s="20"/>
      <c r="AU77" s="20"/>
      <c r="AV77" s="45"/>
      <c r="AW77" s="20"/>
      <c r="AX77" s="20"/>
      <c r="AY77" s="20"/>
      <c r="AZ77" s="20"/>
      <c r="BA77" s="20"/>
    </row>
    <row r="78" spans="1:53" x14ac:dyDescent="0.25">
      <c r="A78" s="18" t="s">
        <v>162</v>
      </c>
      <c r="B78" s="18">
        <v>20</v>
      </c>
      <c r="C78" s="18">
        <v>2</v>
      </c>
      <c r="K78" s="42"/>
      <c r="L78" s="43"/>
      <c r="M78" s="42"/>
      <c r="N78" s="42"/>
      <c r="U78" s="44"/>
      <c r="V78" s="44"/>
      <c r="W78" s="44"/>
      <c r="X78" s="45"/>
      <c r="Y78" s="148"/>
      <c r="Z78" s="42"/>
      <c r="AA78" s="18"/>
      <c r="AB78" s="17"/>
      <c r="AC78" s="17"/>
      <c r="AE78" s="46"/>
      <c r="AF78" s="44"/>
      <c r="AI78" s="45"/>
      <c r="AK78" s="18">
        <v>2</v>
      </c>
      <c r="AN78" s="18" t="str">
        <f t="shared" si="3"/>
        <v>P1L2</v>
      </c>
      <c r="AQ78" s="45"/>
      <c r="AV78" s="45"/>
    </row>
    <row r="79" spans="1:53" x14ac:dyDescent="0.25">
      <c r="A79" s="18" t="s">
        <v>170</v>
      </c>
      <c r="B79" s="18">
        <v>21</v>
      </c>
      <c r="C79" s="18">
        <v>2</v>
      </c>
      <c r="K79" s="42"/>
      <c r="L79" s="43"/>
      <c r="M79" s="42"/>
      <c r="N79" s="42"/>
      <c r="U79" s="44"/>
      <c r="V79" s="44"/>
      <c r="W79" s="44"/>
      <c r="X79" s="45"/>
      <c r="Y79" s="148"/>
      <c r="Z79" s="42"/>
      <c r="AA79" s="18"/>
      <c r="AB79" s="17"/>
      <c r="AC79" s="17"/>
      <c r="AE79" s="46"/>
      <c r="AF79" s="44"/>
      <c r="AI79" s="45"/>
      <c r="AK79" s="18">
        <v>2</v>
      </c>
      <c r="AN79" s="18" t="str">
        <f t="shared" si="3"/>
        <v>P2L2</v>
      </c>
      <c r="AQ79" s="45"/>
      <c r="AV79" s="45"/>
    </row>
    <row r="80" spans="1:53" x14ac:dyDescent="0.25">
      <c r="A80" s="18" t="s">
        <v>174</v>
      </c>
      <c r="B80" s="18">
        <v>22</v>
      </c>
      <c r="C80" s="18">
        <v>2</v>
      </c>
      <c r="K80" s="42"/>
      <c r="L80" s="43"/>
      <c r="M80" s="42"/>
      <c r="N80" s="42"/>
      <c r="U80" s="44"/>
      <c r="V80" s="44"/>
      <c r="W80" s="44"/>
      <c r="X80" s="45"/>
      <c r="Y80" s="148"/>
      <c r="Z80" s="42"/>
      <c r="AA80" s="18"/>
      <c r="AB80" s="17"/>
      <c r="AC80" s="17"/>
      <c r="AE80" s="46"/>
      <c r="AF80" s="44"/>
      <c r="AI80" s="45"/>
      <c r="AK80" s="18">
        <v>2</v>
      </c>
      <c r="AN80" s="18" t="str">
        <f t="shared" si="3"/>
        <v>P3L2</v>
      </c>
      <c r="AQ80" s="45"/>
      <c r="AV80" s="45"/>
    </row>
    <row r="81" spans="1:53" x14ac:dyDescent="0.25">
      <c r="A81" s="18" t="s">
        <v>178</v>
      </c>
      <c r="B81" s="18">
        <v>23</v>
      </c>
      <c r="C81" s="18">
        <v>2</v>
      </c>
      <c r="K81" s="42"/>
      <c r="L81" s="43"/>
      <c r="M81" s="42"/>
      <c r="N81" s="42"/>
      <c r="U81" s="44"/>
      <c r="V81" s="44"/>
      <c r="W81" s="44"/>
      <c r="X81" s="45"/>
      <c r="Y81" s="148"/>
      <c r="Z81" s="42"/>
      <c r="AA81" s="18"/>
      <c r="AB81" s="17"/>
      <c r="AC81" s="17"/>
      <c r="AE81" s="46"/>
      <c r="AF81" s="44"/>
      <c r="AI81" s="45"/>
      <c r="AK81" s="18">
        <v>2</v>
      </c>
      <c r="AN81" s="18" t="str">
        <f t="shared" si="3"/>
        <v>P1F2</v>
      </c>
      <c r="AQ81" s="45"/>
      <c r="AV81" s="45"/>
    </row>
    <row r="82" spans="1:53" x14ac:dyDescent="0.25">
      <c r="A82" s="18" t="s">
        <v>184</v>
      </c>
      <c r="B82" s="18">
        <v>24</v>
      </c>
      <c r="C82" s="18">
        <v>2</v>
      </c>
      <c r="K82" s="42"/>
      <c r="L82" s="43"/>
      <c r="M82" s="42"/>
      <c r="N82" s="42"/>
      <c r="U82" s="44"/>
      <c r="V82" s="44"/>
      <c r="W82" s="44"/>
      <c r="X82" s="45"/>
      <c r="Y82" s="148"/>
      <c r="Z82" s="42"/>
      <c r="AA82" s="18"/>
      <c r="AB82" s="17"/>
      <c r="AC82" s="17"/>
      <c r="AE82" s="46"/>
      <c r="AF82" s="44"/>
      <c r="AI82" s="45"/>
      <c r="AK82" s="18">
        <v>2</v>
      </c>
      <c r="AN82" s="18" t="str">
        <f t="shared" si="3"/>
        <v>P2F2</v>
      </c>
      <c r="AQ82" s="45"/>
      <c r="AV82" s="45"/>
    </row>
    <row r="83" spans="1:53" x14ac:dyDescent="0.25">
      <c r="A83" s="18" t="s">
        <v>188</v>
      </c>
      <c r="B83" s="18">
        <v>25</v>
      </c>
      <c r="C83" s="18">
        <v>2</v>
      </c>
      <c r="D83" s="20"/>
      <c r="E83" s="20"/>
      <c r="F83" s="20"/>
      <c r="G83" s="20"/>
      <c r="H83" s="20"/>
      <c r="I83" s="20"/>
      <c r="J83" s="20"/>
      <c r="K83" s="42"/>
      <c r="L83" s="43"/>
      <c r="M83" s="42"/>
      <c r="N83" s="42"/>
      <c r="O83" s="20"/>
      <c r="P83" s="20"/>
      <c r="Q83" s="20"/>
      <c r="R83" s="20"/>
      <c r="S83" s="20"/>
      <c r="T83" s="20"/>
      <c r="U83" s="44"/>
      <c r="V83" s="44"/>
      <c r="W83" s="44"/>
      <c r="X83" s="45"/>
      <c r="Y83" s="47"/>
      <c r="Z83" s="42"/>
      <c r="AA83" s="18"/>
      <c r="AB83" s="17"/>
      <c r="AC83" s="17"/>
      <c r="AD83" s="20"/>
      <c r="AE83" s="46"/>
      <c r="AF83" s="44"/>
      <c r="AG83" s="20"/>
      <c r="AH83" s="20"/>
      <c r="AI83" s="45"/>
      <c r="AJ83" s="20"/>
      <c r="AK83" s="18">
        <v>2</v>
      </c>
      <c r="AL83" s="20"/>
      <c r="AM83" s="20"/>
      <c r="AN83" s="18" t="str">
        <f t="shared" si="3"/>
        <v>P3F2</v>
      </c>
      <c r="AO83" s="20"/>
      <c r="AP83" s="20"/>
      <c r="AQ83" s="45"/>
      <c r="AR83" s="20"/>
      <c r="AS83" s="20"/>
      <c r="AT83" s="20"/>
      <c r="AU83" s="20"/>
      <c r="AV83" s="45"/>
      <c r="AW83" s="20"/>
      <c r="AX83" s="20"/>
      <c r="AY83" s="20"/>
      <c r="AZ83" s="20"/>
      <c r="BA83" s="20"/>
    </row>
    <row r="84" spans="1:53" x14ac:dyDescent="0.25">
      <c r="A84" s="18" t="s">
        <v>191</v>
      </c>
      <c r="B84" s="18">
        <v>26</v>
      </c>
      <c r="C84" s="18">
        <v>2</v>
      </c>
      <c r="K84" s="42"/>
      <c r="L84" s="43"/>
      <c r="M84" s="42"/>
      <c r="N84" s="42"/>
      <c r="U84" s="44"/>
      <c r="V84" s="44"/>
      <c r="W84" s="44"/>
      <c r="X84" s="45"/>
      <c r="Y84" s="148"/>
      <c r="Z84" s="42"/>
      <c r="AA84" s="18"/>
      <c r="AB84" s="17"/>
      <c r="AC84" s="17"/>
      <c r="AE84" s="46"/>
      <c r="AF84" s="44"/>
      <c r="AI84" s="45"/>
      <c r="AK84" s="18">
        <v>2</v>
      </c>
      <c r="AN84" s="18" t="str">
        <f t="shared" si="3"/>
        <v>P1P2</v>
      </c>
      <c r="AQ84" s="45"/>
      <c r="AV84" s="45"/>
    </row>
    <row r="85" spans="1:53" x14ac:dyDescent="0.25">
      <c r="A85" s="18" t="s">
        <v>196</v>
      </c>
      <c r="B85" s="18">
        <v>27</v>
      </c>
      <c r="C85" s="18">
        <v>2</v>
      </c>
      <c r="K85" s="42"/>
      <c r="L85" s="43"/>
      <c r="M85" s="42"/>
      <c r="N85" s="42"/>
      <c r="U85" s="44"/>
      <c r="V85" s="44"/>
      <c r="W85" s="44"/>
      <c r="X85" s="45"/>
      <c r="Y85" s="148"/>
      <c r="Z85" s="42"/>
      <c r="AA85" s="18"/>
      <c r="AB85" s="17"/>
      <c r="AC85" s="17"/>
      <c r="AE85" s="46"/>
      <c r="AF85" s="44"/>
      <c r="AI85" s="45"/>
      <c r="AK85" s="18">
        <v>2</v>
      </c>
      <c r="AN85" s="18" t="str">
        <f t="shared" si="3"/>
        <v>P2P2</v>
      </c>
      <c r="AQ85" s="45"/>
      <c r="AV85" s="45"/>
    </row>
    <row r="86" spans="1:53" x14ac:dyDescent="0.25">
      <c r="A86" s="18" t="s">
        <v>201</v>
      </c>
      <c r="B86" s="18">
        <v>28</v>
      </c>
      <c r="C86" s="18">
        <v>2</v>
      </c>
      <c r="K86" s="42"/>
      <c r="L86" s="43"/>
      <c r="M86" s="42"/>
      <c r="N86" s="42"/>
      <c r="U86" s="44"/>
      <c r="V86" s="44"/>
      <c r="W86" s="44"/>
      <c r="X86" s="45"/>
      <c r="Y86" s="148"/>
      <c r="Z86" s="42"/>
      <c r="AA86" s="18"/>
      <c r="AB86" s="17"/>
      <c r="AC86" s="17"/>
      <c r="AE86" s="46"/>
      <c r="AF86" s="44"/>
      <c r="AI86" s="45"/>
      <c r="AK86" s="18">
        <v>2</v>
      </c>
      <c r="AN86" s="18" t="str">
        <f t="shared" si="3"/>
        <v>P3P2</v>
      </c>
      <c r="AQ86" s="45"/>
      <c r="AV86" s="45"/>
    </row>
    <row r="87" spans="1:53" x14ac:dyDescent="0.25">
      <c r="A87" s="28" t="s">
        <v>205</v>
      </c>
      <c r="B87" s="18">
        <v>29</v>
      </c>
      <c r="C87" s="18">
        <v>2</v>
      </c>
      <c r="K87" s="42"/>
      <c r="L87" s="43"/>
      <c r="M87" s="42"/>
      <c r="N87" s="42"/>
      <c r="U87" s="44"/>
      <c r="V87" s="44"/>
      <c r="W87" s="44"/>
      <c r="X87" s="45"/>
      <c r="Y87" s="148"/>
      <c r="Z87" s="42"/>
      <c r="AA87" s="18"/>
      <c r="AB87" s="17"/>
      <c r="AC87" s="17"/>
      <c r="AE87" s="46"/>
      <c r="AF87" s="44"/>
      <c r="AI87" s="45"/>
      <c r="AK87" s="18">
        <v>2</v>
      </c>
      <c r="AN87" s="18" t="str">
        <f t="shared" si="3"/>
        <v>PBP2</v>
      </c>
      <c r="AQ87" s="45"/>
      <c r="AV87" s="45"/>
    </row>
    <row r="88" spans="1:53" x14ac:dyDescent="0.25">
      <c r="A88" s="18" t="s">
        <v>212</v>
      </c>
      <c r="B88" s="18">
        <v>30</v>
      </c>
      <c r="C88" s="18">
        <v>2</v>
      </c>
      <c r="K88" s="42"/>
      <c r="L88" s="43"/>
      <c r="M88" s="42"/>
      <c r="N88" s="42"/>
      <c r="U88" s="44"/>
      <c r="V88" s="44"/>
      <c r="W88" s="44"/>
      <c r="X88" s="45"/>
      <c r="Y88" s="148"/>
      <c r="Z88" s="42"/>
      <c r="AA88" s="18"/>
      <c r="AB88" s="17"/>
      <c r="AC88" s="17"/>
      <c r="AE88" s="46"/>
      <c r="AF88" s="44"/>
      <c r="AI88" s="45"/>
      <c r="AK88" s="18">
        <v>2</v>
      </c>
      <c r="AN88" s="18" t="str">
        <f t="shared" si="3"/>
        <v>E1L2</v>
      </c>
      <c r="AQ88" s="45"/>
      <c r="AV88" s="45"/>
    </row>
    <row r="89" spans="1:53" x14ac:dyDescent="0.25">
      <c r="A89" s="18" t="s">
        <v>218</v>
      </c>
      <c r="B89" s="18">
        <v>31</v>
      </c>
      <c r="C89" s="18">
        <v>2</v>
      </c>
      <c r="D89" s="20"/>
      <c r="E89" s="20"/>
      <c r="F89" s="20"/>
      <c r="G89" s="20"/>
      <c r="H89" s="20"/>
      <c r="I89" s="20"/>
      <c r="J89" s="20"/>
      <c r="K89" s="42"/>
      <c r="L89" s="43"/>
      <c r="M89" s="42"/>
      <c r="N89" s="42"/>
      <c r="O89" s="20"/>
      <c r="P89" s="20"/>
      <c r="Q89" s="20"/>
      <c r="R89" s="20"/>
      <c r="S89" s="20"/>
      <c r="T89" s="20"/>
      <c r="U89" s="44"/>
      <c r="V89" s="44"/>
      <c r="W89" s="44"/>
      <c r="X89" s="45"/>
      <c r="Y89" s="47"/>
      <c r="Z89" s="42"/>
      <c r="AA89" s="18"/>
      <c r="AB89" s="17"/>
      <c r="AC89" s="17"/>
      <c r="AD89" s="20"/>
      <c r="AE89" s="46"/>
      <c r="AF89" s="44"/>
      <c r="AG89" s="20"/>
      <c r="AH89" s="20"/>
      <c r="AI89" s="45"/>
      <c r="AJ89" s="20"/>
      <c r="AK89" s="18">
        <v>2</v>
      </c>
      <c r="AL89" s="20"/>
      <c r="AM89" s="20"/>
      <c r="AN89" s="18" t="str">
        <f t="shared" si="3"/>
        <v>E2L2</v>
      </c>
      <c r="AO89" s="20"/>
      <c r="AP89" s="20"/>
      <c r="AQ89" s="45"/>
      <c r="AR89" s="20"/>
      <c r="AS89" s="20"/>
      <c r="AT89" s="20"/>
      <c r="AU89" s="20"/>
      <c r="AV89" s="45"/>
      <c r="AW89" s="20"/>
      <c r="AX89" s="20"/>
      <c r="AY89" s="20"/>
      <c r="AZ89" s="20"/>
      <c r="BA89" s="20"/>
    </row>
    <row r="90" spans="1:53" x14ac:dyDescent="0.25">
      <c r="A90" s="18" t="s">
        <v>222</v>
      </c>
      <c r="B90" s="18">
        <v>32</v>
      </c>
      <c r="C90" s="18">
        <v>2</v>
      </c>
      <c r="K90" s="42"/>
      <c r="L90" s="43"/>
      <c r="M90" s="42"/>
      <c r="N90" s="42"/>
      <c r="U90" s="44"/>
      <c r="V90" s="44"/>
      <c r="W90" s="44"/>
      <c r="X90" s="45"/>
      <c r="Y90" s="148"/>
      <c r="Z90" s="42"/>
      <c r="AA90" s="18"/>
      <c r="AB90" s="17"/>
      <c r="AC90" s="17"/>
      <c r="AE90" s="46"/>
      <c r="AF90" s="44"/>
      <c r="AI90" s="45"/>
      <c r="AK90" s="18">
        <v>2</v>
      </c>
      <c r="AN90" s="18" t="str">
        <f t="shared" si="3"/>
        <v>E3L2</v>
      </c>
      <c r="AQ90" s="45"/>
      <c r="AV90" s="45"/>
    </row>
    <row r="91" spans="1:53" x14ac:dyDescent="0.25">
      <c r="A91" s="18" t="s">
        <v>226</v>
      </c>
      <c r="B91" s="18">
        <v>33</v>
      </c>
      <c r="C91" s="18">
        <v>2</v>
      </c>
      <c r="K91" s="42"/>
      <c r="L91" s="43"/>
      <c r="M91" s="42"/>
      <c r="N91" s="42"/>
      <c r="U91" s="44"/>
      <c r="V91" s="44"/>
      <c r="W91" s="44"/>
      <c r="X91" s="45"/>
      <c r="Y91" s="148"/>
      <c r="Z91" s="42"/>
      <c r="AA91" s="18"/>
      <c r="AB91" s="17"/>
      <c r="AC91" s="17"/>
      <c r="AE91" s="46"/>
      <c r="AF91" s="44"/>
      <c r="AI91" s="45"/>
      <c r="AK91" s="18">
        <v>2</v>
      </c>
      <c r="AN91" s="18" t="str">
        <f t="shared" si="3"/>
        <v>E1F2</v>
      </c>
      <c r="AQ91" s="45"/>
      <c r="AV91" s="45"/>
    </row>
    <row r="92" spans="1:53" x14ac:dyDescent="0.25">
      <c r="A92" s="18" t="s">
        <v>232</v>
      </c>
      <c r="B92" s="18">
        <v>34</v>
      </c>
      <c r="C92" s="18">
        <v>2</v>
      </c>
      <c r="K92" s="42"/>
      <c r="L92" s="43"/>
      <c r="M92" s="42"/>
      <c r="N92" s="42"/>
      <c r="U92" s="44"/>
      <c r="V92" s="44"/>
      <c r="W92" s="44"/>
      <c r="X92" s="45"/>
      <c r="Y92" s="148"/>
      <c r="Z92" s="42"/>
      <c r="AA92" s="18"/>
      <c r="AB92" s="17"/>
      <c r="AC92" s="17"/>
      <c r="AE92" s="46"/>
      <c r="AF92" s="44"/>
      <c r="AI92" s="45"/>
      <c r="AK92" s="18">
        <v>2</v>
      </c>
      <c r="AN92" s="18" t="str">
        <f t="shared" si="3"/>
        <v>E2F2</v>
      </c>
      <c r="AQ92" s="45"/>
      <c r="AV92" s="45"/>
    </row>
    <row r="93" spans="1:53" x14ac:dyDescent="0.25">
      <c r="A93" s="18" t="s">
        <v>236</v>
      </c>
      <c r="B93" s="18">
        <v>35</v>
      </c>
      <c r="C93" s="18">
        <v>2</v>
      </c>
      <c r="K93" s="42"/>
      <c r="L93" s="43"/>
      <c r="M93" s="42"/>
      <c r="N93" s="42"/>
      <c r="U93" s="44"/>
      <c r="V93" s="44"/>
      <c r="W93" s="44"/>
      <c r="X93" s="45"/>
      <c r="Y93" s="148"/>
      <c r="Z93" s="42"/>
      <c r="AA93" s="18"/>
      <c r="AB93" s="17"/>
      <c r="AC93" s="17"/>
      <c r="AE93" s="46"/>
      <c r="AF93" s="44"/>
      <c r="AI93" s="45"/>
      <c r="AK93" s="18">
        <v>2</v>
      </c>
      <c r="AN93" s="18" t="str">
        <f t="shared" si="3"/>
        <v>E3F2</v>
      </c>
      <c r="AQ93" s="45"/>
      <c r="AV93" s="45"/>
    </row>
    <row r="94" spans="1:53" x14ac:dyDescent="0.25">
      <c r="A94" s="18" t="s">
        <v>240</v>
      </c>
      <c r="B94" s="18">
        <v>36</v>
      </c>
      <c r="C94" s="18">
        <v>2</v>
      </c>
      <c r="K94" s="42"/>
      <c r="L94" s="43"/>
      <c r="M94" s="42"/>
      <c r="N94" s="42"/>
      <c r="U94" s="44"/>
      <c r="V94" s="44"/>
      <c r="W94" s="44"/>
      <c r="X94" s="45"/>
      <c r="Y94" s="148"/>
      <c r="Z94" s="42"/>
      <c r="AA94" s="18"/>
      <c r="AB94" s="17"/>
      <c r="AC94" s="17"/>
      <c r="AE94" s="46"/>
      <c r="AF94" s="44"/>
      <c r="AI94" s="45"/>
      <c r="AK94" s="18">
        <v>2</v>
      </c>
      <c r="AN94" s="18" t="str">
        <f t="shared" si="3"/>
        <v>E1P2</v>
      </c>
      <c r="AQ94" s="45"/>
      <c r="AV94" s="45"/>
    </row>
    <row r="95" spans="1:53" x14ac:dyDescent="0.25">
      <c r="A95" s="18" t="s">
        <v>247</v>
      </c>
      <c r="B95" s="18">
        <v>37</v>
      </c>
      <c r="C95" s="18">
        <v>2</v>
      </c>
      <c r="K95" s="42"/>
      <c r="L95" s="43"/>
      <c r="M95" s="42"/>
      <c r="N95" s="42"/>
      <c r="U95" s="44"/>
      <c r="V95" s="44"/>
      <c r="W95" s="44"/>
      <c r="X95" s="45"/>
      <c r="Y95" s="148"/>
      <c r="Z95" s="42"/>
      <c r="AA95" s="18"/>
      <c r="AB95" s="17"/>
      <c r="AC95" s="17"/>
      <c r="AE95" s="46"/>
      <c r="AF95" s="44"/>
      <c r="AI95" s="45"/>
      <c r="AK95" s="18">
        <v>2</v>
      </c>
      <c r="AN95" s="18" t="str">
        <f t="shared" si="3"/>
        <v>E2P2</v>
      </c>
      <c r="AQ95" s="45"/>
      <c r="AV95" s="45"/>
    </row>
    <row r="96" spans="1:53" x14ac:dyDescent="0.25">
      <c r="A96" s="56" t="s">
        <v>251</v>
      </c>
      <c r="B96" s="18">
        <v>38</v>
      </c>
      <c r="C96" s="18">
        <v>2</v>
      </c>
      <c r="D96" s="20"/>
      <c r="E96" s="20"/>
      <c r="F96" s="20"/>
      <c r="G96" s="20"/>
      <c r="H96" s="20"/>
      <c r="I96" s="20"/>
      <c r="J96" s="20"/>
      <c r="K96" s="42"/>
      <c r="L96" s="43"/>
      <c r="M96" s="42"/>
      <c r="N96" s="42"/>
      <c r="O96" s="20"/>
      <c r="P96" s="20"/>
      <c r="Q96" s="20"/>
      <c r="R96" s="20"/>
      <c r="S96" s="20"/>
      <c r="T96" s="20"/>
      <c r="U96" s="44"/>
      <c r="V96" s="44"/>
      <c r="W96" s="44"/>
      <c r="X96" s="45"/>
      <c r="Y96" s="47"/>
      <c r="Z96" s="42"/>
      <c r="AA96" s="18"/>
      <c r="AB96" s="17"/>
      <c r="AC96" s="17"/>
      <c r="AD96" s="20"/>
      <c r="AE96" s="46"/>
      <c r="AF96" s="44"/>
      <c r="AG96" s="20"/>
      <c r="AH96" s="20"/>
      <c r="AI96" s="45"/>
      <c r="AJ96" s="20"/>
      <c r="AK96" s="18">
        <v>2</v>
      </c>
      <c r="AL96" s="20"/>
      <c r="AM96" s="20"/>
      <c r="AN96" s="18" t="str">
        <f t="shared" si="3"/>
        <v>E3P2</v>
      </c>
      <c r="AO96" s="20"/>
      <c r="AP96" s="20"/>
      <c r="AQ96" s="45"/>
      <c r="AR96" s="20"/>
      <c r="AS96" s="20"/>
      <c r="AT96" s="20"/>
      <c r="AU96" s="20"/>
      <c r="AV96" s="45"/>
      <c r="AW96" s="20"/>
      <c r="AX96" s="20"/>
      <c r="AY96" s="20"/>
      <c r="AZ96" s="20"/>
      <c r="BA96" s="20"/>
    </row>
    <row r="97" spans="1:48" x14ac:dyDescent="0.25">
      <c r="A97" s="18" t="s">
        <v>254</v>
      </c>
      <c r="B97" s="18">
        <v>39</v>
      </c>
      <c r="C97" s="18">
        <v>2</v>
      </c>
      <c r="K97" s="42"/>
      <c r="L97" s="43"/>
      <c r="M97" s="42"/>
      <c r="N97" s="42"/>
      <c r="U97" s="44"/>
      <c r="V97" s="44"/>
      <c r="W97" s="44"/>
      <c r="X97" s="45"/>
      <c r="Y97" s="148"/>
      <c r="Z97" s="42"/>
      <c r="AA97" s="18"/>
      <c r="AB97" s="17"/>
      <c r="AC97" s="17"/>
      <c r="AE97" s="46"/>
      <c r="AF97" s="44"/>
      <c r="AI97" s="45"/>
      <c r="AK97" s="18">
        <v>2</v>
      </c>
      <c r="AN97" s="18" t="str">
        <f t="shared" si="3"/>
        <v>T1L2</v>
      </c>
      <c r="AQ97" s="45"/>
      <c r="AV97" s="45"/>
    </row>
    <row r="98" spans="1:48" x14ac:dyDescent="0.25">
      <c r="A98" s="18" t="s">
        <v>261</v>
      </c>
      <c r="B98" s="18">
        <v>40</v>
      </c>
      <c r="C98" s="18">
        <v>2</v>
      </c>
      <c r="K98" s="42"/>
      <c r="L98" s="43"/>
      <c r="M98" s="42"/>
      <c r="N98" s="42"/>
      <c r="U98" s="44"/>
      <c r="V98" s="44"/>
      <c r="W98" s="44"/>
      <c r="X98" s="45"/>
      <c r="Y98" s="148"/>
      <c r="Z98" s="42"/>
      <c r="AA98" s="18"/>
      <c r="AB98" s="17"/>
      <c r="AC98" s="17"/>
      <c r="AE98" s="46"/>
      <c r="AF98" s="44"/>
      <c r="AI98" s="45"/>
      <c r="AK98" s="18">
        <v>2</v>
      </c>
      <c r="AN98" s="18" t="str">
        <f t="shared" si="3"/>
        <v>T2L2</v>
      </c>
      <c r="AQ98" s="45"/>
      <c r="AV98" s="45"/>
    </row>
    <row r="99" spans="1:48" x14ac:dyDescent="0.25">
      <c r="A99" s="18" t="s">
        <v>265</v>
      </c>
      <c r="B99" s="18">
        <v>41</v>
      </c>
      <c r="C99" s="18">
        <v>2</v>
      </c>
      <c r="K99" s="42"/>
      <c r="L99" s="43"/>
      <c r="M99" s="42"/>
      <c r="N99" s="42"/>
      <c r="U99" s="44"/>
      <c r="V99" s="44"/>
      <c r="W99" s="44"/>
      <c r="X99" s="45"/>
      <c r="Y99" s="148"/>
      <c r="Z99" s="42"/>
      <c r="AA99" s="18"/>
      <c r="AB99" s="17"/>
      <c r="AC99" s="17"/>
      <c r="AE99" s="46"/>
      <c r="AF99" s="44"/>
      <c r="AI99" s="45"/>
      <c r="AK99" s="18">
        <v>2</v>
      </c>
      <c r="AN99" s="18" t="str">
        <f t="shared" si="3"/>
        <v>T3L2</v>
      </c>
      <c r="AQ99" s="45"/>
      <c r="AV99" s="45"/>
    </row>
    <row r="100" spans="1:48" x14ac:dyDescent="0.25">
      <c r="A100" s="18" t="s">
        <v>269</v>
      </c>
      <c r="B100" s="18">
        <v>42</v>
      </c>
      <c r="C100" s="18">
        <v>2</v>
      </c>
      <c r="K100" s="42"/>
      <c r="L100" s="43"/>
      <c r="M100" s="42"/>
      <c r="N100" s="42"/>
      <c r="U100" s="44"/>
      <c r="V100" s="44"/>
      <c r="W100" s="44"/>
      <c r="X100" s="45"/>
      <c r="Y100" s="148"/>
      <c r="Z100" s="42"/>
      <c r="AA100" s="18"/>
      <c r="AB100" s="17"/>
      <c r="AC100" s="17"/>
      <c r="AE100" s="46"/>
      <c r="AF100" s="44"/>
      <c r="AI100" s="45"/>
      <c r="AK100" s="18">
        <v>2</v>
      </c>
      <c r="AN100" s="18" t="str">
        <f t="shared" si="3"/>
        <v>T1F2</v>
      </c>
      <c r="AQ100" s="45"/>
      <c r="AV100" s="45"/>
    </row>
    <row r="101" spans="1:48" x14ac:dyDescent="0.25">
      <c r="A101" s="18" t="s">
        <v>277</v>
      </c>
      <c r="B101" s="18">
        <v>43</v>
      </c>
      <c r="C101" s="18">
        <v>2</v>
      </c>
      <c r="K101" s="42"/>
      <c r="L101" s="43"/>
      <c r="M101" s="42"/>
      <c r="N101" s="42"/>
      <c r="U101" s="44"/>
      <c r="V101" s="44"/>
      <c r="W101" s="44"/>
      <c r="X101" s="45"/>
      <c r="Y101" s="148"/>
      <c r="Z101" s="42"/>
      <c r="AA101" s="18"/>
      <c r="AB101" s="17"/>
      <c r="AC101" s="17"/>
      <c r="AE101" s="46"/>
      <c r="AF101" s="44"/>
      <c r="AI101" s="45"/>
      <c r="AK101" s="18">
        <v>2</v>
      </c>
      <c r="AN101" s="18" t="str">
        <f t="shared" si="3"/>
        <v>T2F2</v>
      </c>
      <c r="AQ101" s="45"/>
      <c r="AV101" s="45"/>
    </row>
    <row r="102" spans="1:48" x14ac:dyDescent="0.25">
      <c r="A102" s="18" t="s">
        <v>281</v>
      </c>
      <c r="B102" s="18">
        <v>44</v>
      </c>
      <c r="C102" s="18">
        <v>2</v>
      </c>
      <c r="K102" s="42"/>
      <c r="L102" s="43"/>
      <c r="M102" s="42"/>
      <c r="N102" s="42"/>
      <c r="U102" s="44"/>
      <c r="V102" s="44"/>
      <c r="W102" s="44"/>
      <c r="X102" s="45"/>
      <c r="Y102" s="148"/>
      <c r="Z102" s="42"/>
      <c r="AA102" s="18"/>
      <c r="AB102" s="17"/>
      <c r="AC102" s="17"/>
      <c r="AE102" s="46"/>
      <c r="AF102" s="44"/>
      <c r="AI102" s="45"/>
      <c r="AK102" s="18">
        <v>2</v>
      </c>
      <c r="AN102" s="18" t="str">
        <f t="shared" si="3"/>
        <v>T3F2</v>
      </c>
      <c r="AQ102" s="45"/>
      <c r="AV102" s="45"/>
    </row>
    <row r="103" spans="1:48" x14ac:dyDescent="0.25">
      <c r="A103" s="18" t="s">
        <v>285</v>
      </c>
      <c r="B103" s="18">
        <v>45</v>
      </c>
      <c r="C103" s="18">
        <v>2</v>
      </c>
      <c r="K103" s="42"/>
      <c r="L103" s="43"/>
      <c r="M103" s="42"/>
      <c r="N103" s="42"/>
      <c r="U103" s="44"/>
      <c r="V103" s="44"/>
      <c r="W103" s="44"/>
      <c r="X103" s="45"/>
      <c r="Y103" s="148"/>
      <c r="Z103" s="42"/>
      <c r="AA103" s="18"/>
      <c r="AB103" s="17"/>
      <c r="AC103" s="17"/>
      <c r="AE103" s="46"/>
      <c r="AF103" s="44"/>
      <c r="AI103" s="45"/>
      <c r="AK103" s="18">
        <v>2</v>
      </c>
      <c r="AN103" s="18" t="str">
        <f t="shared" si="3"/>
        <v>T1P2</v>
      </c>
      <c r="AQ103" s="45"/>
      <c r="AV103" s="45"/>
    </row>
    <row r="104" spans="1:48" x14ac:dyDescent="0.25">
      <c r="A104" s="18" t="s">
        <v>291</v>
      </c>
      <c r="B104" s="18">
        <v>46</v>
      </c>
      <c r="C104" s="18">
        <v>2</v>
      </c>
      <c r="K104" s="42"/>
      <c r="L104" s="43"/>
      <c r="M104" s="42"/>
      <c r="N104" s="42"/>
      <c r="U104" s="44"/>
      <c r="V104" s="44"/>
      <c r="W104" s="44"/>
      <c r="X104" s="45"/>
      <c r="Y104" s="148"/>
      <c r="Z104" s="42"/>
      <c r="AA104" s="18"/>
      <c r="AB104" s="17"/>
      <c r="AC104" s="17"/>
      <c r="AE104" s="46"/>
      <c r="AF104" s="44"/>
      <c r="AI104" s="45"/>
      <c r="AK104" s="18">
        <v>2</v>
      </c>
      <c r="AN104" s="18" t="str">
        <f t="shared" si="3"/>
        <v>T2P2</v>
      </c>
      <c r="AQ104" s="45"/>
      <c r="AV104" s="45"/>
    </row>
    <row r="105" spans="1:48" x14ac:dyDescent="0.25">
      <c r="A105" s="56" t="s">
        <v>294</v>
      </c>
      <c r="B105" s="18">
        <v>47</v>
      </c>
      <c r="C105" s="18">
        <v>2</v>
      </c>
      <c r="K105" s="42"/>
      <c r="L105" s="43"/>
      <c r="M105" s="42"/>
      <c r="N105" s="42"/>
      <c r="U105" s="44"/>
      <c r="V105" s="44"/>
      <c r="W105" s="44"/>
      <c r="X105" s="45"/>
      <c r="Y105" s="148"/>
      <c r="Z105" s="42"/>
      <c r="AA105" s="18"/>
      <c r="AB105" s="17"/>
      <c r="AC105" s="17"/>
      <c r="AE105" s="46"/>
      <c r="AF105" s="44"/>
      <c r="AI105" s="45"/>
      <c r="AK105" s="18">
        <v>2</v>
      </c>
      <c r="AN105" s="18" t="str">
        <f t="shared" si="3"/>
        <v>T3P2</v>
      </c>
      <c r="AQ105" s="45"/>
      <c r="AV105" s="45"/>
    </row>
    <row r="106" spans="1:48" x14ac:dyDescent="0.25">
      <c r="A106" s="18" t="s">
        <v>298</v>
      </c>
      <c r="B106" s="18">
        <v>48</v>
      </c>
      <c r="C106" s="18">
        <v>2</v>
      </c>
      <c r="K106" s="42"/>
      <c r="L106" s="43"/>
      <c r="M106" s="42"/>
      <c r="N106" s="42"/>
      <c r="U106" s="44"/>
      <c r="V106" s="44"/>
      <c r="W106" s="44"/>
      <c r="X106" s="45"/>
      <c r="Y106" s="148"/>
      <c r="Z106" s="42"/>
      <c r="AA106" s="18"/>
      <c r="AB106" s="17"/>
      <c r="AC106" s="17"/>
      <c r="AE106" s="46"/>
      <c r="AF106" s="44"/>
      <c r="AI106" s="45"/>
      <c r="AK106" s="18">
        <v>2</v>
      </c>
      <c r="AN106" s="18" t="str">
        <f t="shared" si="3"/>
        <v>H1L2</v>
      </c>
      <c r="AQ106" s="45"/>
      <c r="AV106" s="45"/>
    </row>
    <row r="107" spans="1:48" x14ac:dyDescent="0.25">
      <c r="A107" s="18" t="s">
        <v>304</v>
      </c>
      <c r="B107" s="18">
        <v>49</v>
      </c>
      <c r="C107" s="18">
        <v>2</v>
      </c>
      <c r="K107" s="42"/>
      <c r="L107" s="43"/>
      <c r="M107" s="42"/>
      <c r="N107" s="42"/>
      <c r="U107" s="44"/>
      <c r="V107" s="44"/>
      <c r="W107" s="44"/>
      <c r="X107" s="45"/>
      <c r="Y107" s="148"/>
      <c r="Z107" s="42"/>
      <c r="AA107" s="18"/>
      <c r="AB107" s="17"/>
      <c r="AC107" s="17"/>
      <c r="AE107" s="46"/>
      <c r="AF107" s="44"/>
      <c r="AI107" s="45"/>
      <c r="AK107" s="18">
        <v>2</v>
      </c>
      <c r="AN107" s="18" t="str">
        <f t="shared" si="3"/>
        <v>H2L2</v>
      </c>
      <c r="AQ107" s="45"/>
      <c r="AV107" s="45"/>
    </row>
    <row r="108" spans="1:48" x14ac:dyDescent="0.25">
      <c r="A108" s="18" t="s">
        <v>307</v>
      </c>
      <c r="B108" s="18">
        <v>50</v>
      </c>
      <c r="C108" s="18">
        <v>2</v>
      </c>
      <c r="K108" s="42"/>
      <c r="L108" s="43"/>
      <c r="M108" s="42"/>
      <c r="N108" s="42"/>
      <c r="U108" s="44"/>
      <c r="V108" s="44"/>
      <c r="W108" s="44"/>
      <c r="X108" s="45"/>
      <c r="Y108" s="148"/>
      <c r="Z108" s="42"/>
      <c r="AA108" s="18"/>
      <c r="AB108" s="17"/>
      <c r="AC108" s="17"/>
      <c r="AE108" s="46"/>
      <c r="AF108" s="44"/>
      <c r="AI108" s="45"/>
      <c r="AK108" s="18">
        <v>2</v>
      </c>
      <c r="AN108" s="18" t="str">
        <f t="shared" si="3"/>
        <v>H3L2</v>
      </c>
      <c r="AQ108" s="45"/>
      <c r="AV108" s="45"/>
    </row>
    <row r="109" spans="1:48" x14ac:dyDescent="0.25">
      <c r="A109" s="18" t="s">
        <v>310</v>
      </c>
      <c r="B109" s="18">
        <v>51</v>
      </c>
      <c r="C109" s="18">
        <v>2</v>
      </c>
      <c r="K109" s="42"/>
      <c r="L109" s="43"/>
      <c r="M109" s="42"/>
      <c r="N109" s="42"/>
      <c r="U109" s="44"/>
      <c r="V109" s="44"/>
      <c r="W109" s="44"/>
      <c r="X109" s="45"/>
      <c r="Y109" s="148"/>
      <c r="Z109" s="42"/>
      <c r="AA109" s="18"/>
      <c r="AB109" s="17"/>
      <c r="AC109" s="17"/>
      <c r="AE109" s="46"/>
      <c r="AF109" s="44"/>
      <c r="AI109" s="45"/>
      <c r="AK109" s="18">
        <v>2</v>
      </c>
      <c r="AN109" s="18" t="str">
        <f t="shared" si="3"/>
        <v>H1F2</v>
      </c>
      <c r="AQ109" s="45"/>
      <c r="AV109" s="45"/>
    </row>
    <row r="110" spans="1:48" x14ac:dyDescent="0.25">
      <c r="A110" s="18" t="s">
        <v>315</v>
      </c>
      <c r="B110" s="18">
        <v>52</v>
      </c>
      <c r="C110" s="18">
        <v>2</v>
      </c>
      <c r="K110" s="42"/>
      <c r="L110" s="43"/>
      <c r="M110" s="42"/>
      <c r="N110" s="42"/>
      <c r="U110" s="44"/>
      <c r="V110" s="44"/>
      <c r="W110" s="44"/>
      <c r="X110" s="45"/>
      <c r="Y110" s="148"/>
      <c r="Z110" s="42"/>
      <c r="AA110" s="18"/>
      <c r="AB110" s="17"/>
      <c r="AC110" s="17"/>
      <c r="AE110" s="46"/>
      <c r="AF110" s="44"/>
      <c r="AI110" s="45"/>
      <c r="AK110" s="18">
        <v>2</v>
      </c>
      <c r="AN110" s="18" t="str">
        <f t="shared" si="3"/>
        <v>H2F2</v>
      </c>
      <c r="AQ110" s="45"/>
      <c r="AV110" s="45"/>
    </row>
    <row r="111" spans="1:48" x14ac:dyDescent="0.25">
      <c r="A111" s="18" t="s">
        <v>317</v>
      </c>
      <c r="B111" s="18">
        <v>53</v>
      </c>
      <c r="C111" s="18">
        <v>2</v>
      </c>
      <c r="K111" s="42"/>
      <c r="L111" s="43"/>
      <c r="M111" s="42"/>
      <c r="N111" s="42"/>
      <c r="U111" s="44"/>
      <c r="V111" s="44"/>
      <c r="W111" s="44"/>
      <c r="X111" s="45"/>
      <c r="Y111" s="148"/>
      <c r="Z111" s="42"/>
      <c r="AA111" s="18"/>
      <c r="AB111" s="17"/>
      <c r="AC111" s="17"/>
      <c r="AE111" s="46"/>
      <c r="AF111" s="44"/>
      <c r="AI111" s="45"/>
      <c r="AK111" s="18">
        <v>2</v>
      </c>
      <c r="AN111" s="18" t="str">
        <f t="shared" si="3"/>
        <v>H3F2</v>
      </c>
      <c r="AQ111" s="45"/>
      <c r="AV111" s="45"/>
    </row>
    <row r="112" spans="1:48" x14ac:dyDescent="0.25">
      <c r="A112" s="18" t="s">
        <v>320</v>
      </c>
      <c r="B112" s="18">
        <v>54</v>
      </c>
      <c r="C112" s="18">
        <v>2</v>
      </c>
      <c r="K112" s="42"/>
      <c r="L112" s="43"/>
      <c r="M112" s="42"/>
      <c r="N112" s="42"/>
      <c r="U112" s="44"/>
      <c r="V112" s="44"/>
      <c r="W112" s="44"/>
      <c r="X112" s="45"/>
      <c r="Y112" s="148"/>
      <c r="Z112" s="42"/>
      <c r="AA112" s="18"/>
      <c r="AB112" s="17"/>
      <c r="AC112" s="17"/>
      <c r="AE112" s="46"/>
      <c r="AF112" s="44"/>
      <c r="AI112" s="45"/>
      <c r="AK112" s="18">
        <v>2</v>
      </c>
      <c r="AN112" s="18" t="str">
        <f t="shared" si="3"/>
        <v>H1P2</v>
      </c>
      <c r="AQ112" s="45"/>
      <c r="AV112" s="45"/>
    </row>
    <row r="113" spans="1:53" x14ac:dyDescent="0.25">
      <c r="A113" s="18" t="s">
        <v>325</v>
      </c>
      <c r="B113" s="18">
        <v>55</v>
      </c>
      <c r="C113" s="18">
        <v>2</v>
      </c>
      <c r="K113" s="42"/>
      <c r="L113" s="43"/>
      <c r="M113" s="42"/>
      <c r="N113" s="42"/>
      <c r="U113" s="44"/>
      <c r="V113" s="44"/>
      <c r="W113" s="44"/>
      <c r="X113" s="45"/>
      <c r="Y113" s="148"/>
      <c r="Z113" s="42"/>
      <c r="AA113" s="18"/>
      <c r="AB113" s="17"/>
      <c r="AC113" s="17"/>
      <c r="AE113" s="46"/>
      <c r="AF113" s="44"/>
      <c r="AI113" s="45"/>
      <c r="AK113" s="18">
        <v>2</v>
      </c>
      <c r="AN113" s="18" t="str">
        <f t="shared" si="3"/>
        <v>H2P2</v>
      </c>
      <c r="AQ113" s="45"/>
      <c r="AV113" s="45"/>
    </row>
    <row r="114" spans="1:53" x14ac:dyDescent="0.25">
      <c r="A114" s="18" t="s">
        <v>327</v>
      </c>
      <c r="B114" s="18">
        <v>56</v>
      </c>
      <c r="C114" s="18">
        <v>2</v>
      </c>
      <c r="K114" s="42"/>
      <c r="L114" s="43"/>
      <c r="M114" s="42"/>
      <c r="N114" s="42"/>
      <c r="U114" s="44"/>
      <c r="V114" s="44"/>
      <c r="W114" s="44"/>
      <c r="X114" s="45"/>
      <c r="Y114" s="148"/>
      <c r="Z114" s="42"/>
      <c r="AA114" s="18"/>
      <c r="AB114" s="17"/>
      <c r="AC114" s="17"/>
      <c r="AE114" s="46"/>
      <c r="AF114" s="44"/>
      <c r="AI114" s="45"/>
      <c r="AK114" s="18">
        <v>2</v>
      </c>
      <c r="AN114" s="18" t="str">
        <f t="shared" si="3"/>
        <v>H3P2</v>
      </c>
      <c r="AQ114" s="45"/>
      <c r="AV114" s="45"/>
    </row>
    <row r="115" spans="1:53" x14ac:dyDescent="0.25">
      <c r="A115" s="28" t="s">
        <v>331</v>
      </c>
      <c r="B115" s="18">
        <v>57</v>
      </c>
      <c r="C115" s="18">
        <v>2</v>
      </c>
      <c r="K115" s="42"/>
      <c r="L115" s="43"/>
      <c r="M115" s="42"/>
      <c r="N115" s="42"/>
      <c r="U115" s="44"/>
      <c r="V115" s="44"/>
      <c r="W115" s="44"/>
      <c r="X115" s="45"/>
      <c r="Y115" s="148"/>
      <c r="Z115" s="42"/>
      <c r="AA115" s="18"/>
      <c r="AB115" s="17"/>
      <c r="AC115" s="17"/>
      <c r="AE115" s="46"/>
      <c r="AF115" s="44"/>
      <c r="AI115" s="45"/>
      <c r="AK115" s="18">
        <v>2</v>
      </c>
      <c r="AN115" s="18" t="str">
        <f t="shared" si="3"/>
        <v>HBP2</v>
      </c>
      <c r="AQ115" s="45"/>
      <c r="AV115" s="45"/>
    </row>
    <row r="116" spans="1:53" x14ac:dyDescent="0.25">
      <c r="A116" s="18" t="s">
        <v>53</v>
      </c>
      <c r="B116" s="18">
        <v>1</v>
      </c>
      <c r="C116" s="18">
        <v>3</v>
      </c>
      <c r="K116" s="42"/>
      <c r="L116" s="43"/>
      <c r="M116" s="42"/>
      <c r="N116" s="42"/>
      <c r="U116" s="44"/>
      <c r="V116" s="44"/>
      <c r="W116" s="44"/>
      <c r="X116" s="45"/>
      <c r="Y116" s="148"/>
      <c r="Z116" s="42"/>
      <c r="AA116" s="18"/>
      <c r="AB116" s="17"/>
      <c r="AC116" s="17"/>
      <c r="AE116" s="46"/>
      <c r="AF116" s="44"/>
      <c r="AI116" s="45"/>
      <c r="AK116" s="18">
        <v>3</v>
      </c>
      <c r="AN116" s="18" t="str">
        <f t="shared" si="3"/>
        <v>M1L3</v>
      </c>
      <c r="AQ116" s="45"/>
      <c r="AV116" s="45"/>
    </row>
    <row r="117" spans="1:53" x14ac:dyDescent="0.25">
      <c r="A117" s="18" t="s">
        <v>68</v>
      </c>
      <c r="B117" s="18">
        <v>2</v>
      </c>
      <c r="C117" s="18">
        <v>3</v>
      </c>
      <c r="K117" s="42"/>
      <c r="L117" s="43"/>
      <c r="M117" s="42"/>
      <c r="N117" s="42"/>
      <c r="U117" s="44"/>
      <c r="V117" s="44"/>
      <c r="W117" s="44"/>
      <c r="X117" s="45"/>
      <c r="Y117" s="148"/>
      <c r="Z117" s="42"/>
      <c r="AA117" s="18"/>
      <c r="AB117" s="17"/>
      <c r="AC117" s="17"/>
      <c r="AE117" s="46"/>
      <c r="AF117" s="44"/>
      <c r="AI117" s="45"/>
      <c r="AK117" s="18">
        <v>3</v>
      </c>
      <c r="AN117" s="18" t="str">
        <f t="shared" si="3"/>
        <v>M2L3</v>
      </c>
      <c r="AQ117" s="45"/>
      <c r="AV117" s="45"/>
    </row>
    <row r="118" spans="1:53" x14ac:dyDescent="0.25">
      <c r="A118" s="18" t="s">
        <v>72</v>
      </c>
      <c r="B118" s="18">
        <v>3</v>
      </c>
      <c r="C118" s="18">
        <v>3</v>
      </c>
      <c r="D118" s="20"/>
      <c r="E118" s="20"/>
      <c r="F118" s="20"/>
      <c r="G118" s="20"/>
      <c r="H118" s="20"/>
      <c r="I118" s="20"/>
      <c r="J118" s="20"/>
      <c r="K118" s="42"/>
      <c r="L118" s="43"/>
      <c r="M118" s="42"/>
      <c r="N118" s="42"/>
      <c r="O118" s="20"/>
      <c r="P118" s="20"/>
      <c r="Q118" s="20"/>
      <c r="R118" s="20"/>
      <c r="S118" s="20"/>
      <c r="T118" s="20"/>
      <c r="U118" s="44"/>
      <c r="V118" s="44"/>
      <c r="W118" s="44"/>
      <c r="X118" s="45"/>
      <c r="Y118" s="47"/>
      <c r="Z118" s="42"/>
      <c r="AA118" s="18"/>
      <c r="AB118" s="17"/>
      <c r="AC118" s="17"/>
      <c r="AD118" s="20"/>
      <c r="AE118" s="46"/>
      <c r="AF118" s="44"/>
      <c r="AG118" s="20"/>
      <c r="AH118" s="20"/>
      <c r="AI118" s="45"/>
      <c r="AJ118" s="20"/>
      <c r="AK118" s="18">
        <v>3</v>
      </c>
      <c r="AL118" s="20"/>
      <c r="AM118" s="20"/>
      <c r="AN118" s="18" t="str">
        <f t="shared" si="3"/>
        <v>M3L3</v>
      </c>
      <c r="AO118" s="20"/>
      <c r="AP118" s="20"/>
      <c r="AQ118" s="45"/>
      <c r="AR118" s="20"/>
      <c r="AS118" s="20"/>
      <c r="AT118" s="20"/>
      <c r="AU118" s="20"/>
      <c r="AV118" s="45"/>
      <c r="AW118" s="20"/>
      <c r="AX118" s="20"/>
      <c r="AY118" s="20"/>
      <c r="AZ118" s="20"/>
      <c r="BA118" s="20"/>
    </row>
    <row r="119" spans="1:53" x14ac:dyDescent="0.25">
      <c r="A119" s="18" t="s">
        <v>76</v>
      </c>
      <c r="B119" s="18">
        <v>4</v>
      </c>
      <c r="C119" s="18">
        <v>3</v>
      </c>
      <c r="K119" s="42"/>
      <c r="L119" s="43"/>
      <c r="M119" s="42"/>
      <c r="N119" s="42"/>
      <c r="U119" s="44"/>
      <c r="V119" s="44"/>
      <c r="W119" s="44"/>
      <c r="X119" s="45"/>
      <c r="Y119" s="148"/>
      <c r="Z119" s="42"/>
      <c r="AA119" s="18"/>
      <c r="AB119" s="17"/>
      <c r="AC119" s="17"/>
      <c r="AE119" s="46"/>
      <c r="AF119" s="44"/>
      <c r="AI119" s="45"/>
      <c r="AK119" s="18">
        <v>3</v>
      </c>
      <c r="AN119" s="18" t="str">
        <f t="shared" si="3"/>
        <v>M1F3</v>
      </c>
      <c r="AQ119" s="45"/>
      <c r="AV119" s="45"/>
    </row>
    <row r="120" spans="1:53" x14ac:dyDescent="0.25">
      <c r="A120" s="18" t="s">
        <v>84</v>
      </c>
      <c r="B120" s="18">
        <v>5</v>
      </c>
      <c r="C120" s="18">
        <v>3</v>
      </c>
      <c r="K120" s="42"/>
      <c r="L120" s="43"/>
      <c r="M120" s="42"/>
      <c r="N120" s="42"/>
      <c r="U120" s="44"/>
      <c r="V120" s="44"/>
      <c r="W120" s="44"/>
      <c r="X120" s="45"/>
      <c r="Y120" s="148"/>
      <c r="Z120" s="42"/>
      <c r="AA120" s="18"/>
      <c r="AB120" s="17"/>
      <c r="AC120" s="17"/>
      <c r="AE120" s="46"/>
      <c r="AF120" s="44"/>
      <c r="AI120" s="45"/>
      <c r="AK120" s="18">
        <v>3</v>
      </c>
      <c r="AN120" s="18" t="str">
        <f t="shared" si="3"/>
        <v>M2F3</v>
      </c>
      <c r="AQ120" s="45"/>
      <c r="AV120" s="45"/>
    </row>
    <row r="121" spans="1:53" x14ac:dyDescent="0.25">
      <c r="A121" s="18" t="s">
        <v>88</v>
      </c>
      <c r="B121" s="18">
        <v>6</v>
      </c>
      <c r="C121" s="18">
        <v>3</v>
      </c>
      <c r="K121" s="42"/>
      <c r="L121" s="43"/>
      <c r="M121" s="42"/>
      <c r="N121" s="42"/>
      <c r="U121" s="44"/>
      <c r="V121" s="44"/>
      <c r="W121" s="44"/>
      <c r="X121" s="45"/>
      <c r="Y121" s="148"/>
      <c r="Z121" s="42"/>
      <c r="AA121" s="18"/>
      <c r="AB121" s="17"/>
      <c r="AC121" s="17"/>
      <c r="AE121" s="46"/>
      <c r="AF121" s="44"/>
      <c r="AI121" s="45"/>
      <c r="AK121" s="18">
        <v>3</v>
      </c>
      <c r="AN121" s="18" t="str">
        <f t="shared" si="3"/>
        <v>M3F3</v>
      </c>
      <c r="AQ121" s="45"/>
      <c r="AV121" s="45"/>
    </row>
    <row r="122" spans="1:53" x14ac:dyDescent="0.25">
      <c r="A122" s="18" t="s">
        <v>91</v>
      </c>
      <c r="B122" s="18">
        <v>7</v>
      </c>
      <c r="C122" s="18">
        <v>3</v>
      </c>
      <c r="K122" s="42"/>
      <c r="L122" s="43"/>
      <c r="M122" s="42"/>
      <c r="N122" s="42"/>
      <c r="U122" s="44"/>
      <c r="V122" s="44"/>
      <c r="W122" s="44"/>
      <c r="X122" s="45"/>
      <c r="Y122" s="148"/>
      <c r="Z122" s="42"/>
      <c r="AA122" s="18"/>
      <c r="AB122" s="17"/>
      <c r="AC122" s="17"/>
      <c r="AE122" s="46"/>
      <c r="AF122" s="44"/>
      <c r="AI122" s="45"/>
      <c r="AK122" s="18">
        <v>3</v>
      </c>
      <c r="AN122" s="18" t="str">
        <f t="shared" si="3"/>
        <v>M1P3</v>
      </c>
      <c r="AQ122" s="45"/>
      <c r="AV122" s="45"/>
    </row>
    <row r="123" spans="1:53" x14ac:dyDescent="0.25">
      <c r="A123" s="18" t="s">
        <v>103</v>
      </c>
      <c r="B123" s="18">
        <v>8</v>
      </c>
      <c r="C123" s="18">
        <v>3</v>
      </c>
      <c r="K123" s="42"/>
      <c r="L123" s="43"/>
      <c r="M123" s="42"/>
      <c r="N123" s="42"/>
      <c r="U123" s="44"/>
      <c r="V123" s="44"/>
      <c r="W123" s="44"/>
      <c r="X123" s="45"/>
      <c r="Y123" s="148"/>
      <c r="Z123" s="42"/>
      <c r="AA123" s="18"/>
      <c r="AB123" s="17"/>
      <c r="AC123" s="17"/>
      <c r="AE123" s="46"/>
      <c r="AF123" s="44"/>
      <c r="AI123" s="45"/>
      <c r="AK123" s="18">
        <v>3</v>
      </c>
      <c r="AN123" s="18" t="str">
        <f t="shared" si="3"/>
        <v>M2P3</v>
      </c>
      <c r="AQ123" s="45"/>
      <c r="AV123" s="45"/>
    </row>
    <row r="124" spans="1:53" x14ac:dyDescent="0.25">
      <c r="A124" s="56" t="s">
        <v>107</v>
      </c>
      <c r="B124" s="18">
        <v>9</v>
      </c>
      <c r="C124" s="18">
        <v>3</v>
      </c>
      <c r="K124" s="42"/>
      <c r="L124" s="43"/>
      <c r="M124" s="42"/>
      <c r="N124" s="42"/>
      <c r="U124" s="44"/>
      <c r="V124" s="44"/>
      <c r="W124" s="44"/>
      <c r="X124" s="45"/>
      <c r="Y124" s="148"/>
      <c r="Z124" s="42"/>
      <c r="AA124" s="18"/>
      <c r="AB124" s="17"/>
      <c r="AC124" s="17"/>
      <c r="AE124" s="46"/>
      <c r="AF124" s="44"/>
      <c r="AI124" s="45"/>
      <c r="AK124" s="18">
        <v>3</v>
      </c>
      <c r="AN124" s="18" t="str">
        <f t="shared" si="3"/>
        <v>M3P3</v>
      </c>
      <c r="AQ124" s="45"/>
      <c r="AV124" s="45"/>
    </row>
    <row r="125" spans="1:53" x14ac:dyDescent="0.25">
      <c r="A125" s="18" t="s">
        <v>111</v>
      </c>
      <c r="B125" s="18">
        <v>10</v>
      </c>
      <c r="C125" s="18">
        <v>3</v>
      </c>
      <c r="K125" s="42"/>
      <c r="L125" s="43"/>
      <c r="M125" s="42"/>
      <c r="N125" s="42"/>
      <c r="U125" s="44"/>
      <c r="V125" s="44"/>
      <c r="W125" s="44"/>
      <c r="X125" s="45"/>
      <c r="Y125" s="148"/>
      <c r="Z125" s="42"/>
      <c r="AA125" s="18"/>
      <c r="AB125" s="17"/>
      <c r="AC125" s="17"/>
      <c r="AE125" s="46"/>
      <c r="AF125" s="44"/>
      <c r="AI125" s="45"/>
      <c r="AK125" s="18">
        <v>3</v>
      </c>
      <c r="AN125" s="18" t="str">
        <f t="shared" si="3"/>
        <v>A1L3</v>
      </c>
      <c r="AQ125" s="45"/>
      <c r="AV125" s="45"/>
    </row>
    <row r="126" spans="1:53" x14ac:dyDescent="0.25">
      <c r="A126" s="18" t="s">
        <v>120</v>
      </c>
      <c r="B126" s="18">
        <v>11</v>
      </c>
      <c r="C126" s="18">
        <v>3</v>
      </c>
      <c r="K126" s="42"/>
      <c r="L126" s="43"/>
      <c r="M126" s="42"/>
      <c r="N126" s="42"/>
      <c r="U126" s="44"/>
      <c r="V126" s="44"/>
      <c r="W126" s="44"/>
      <c r="X126" s="45"/>
      <c r="Y126" s="148"/>
      <c r="Z126" s="42"/>
      <c r="AA126" s="18"/>
      <c r="AB126" s="17"/>
      <c r="AC126" s="17"/>
      <c r="AE126" s="46"/>
      <c r="AF126" s="44"/>
      <c r="AI126" s="45"/>
      <c r="AK126" s="18">
        <v>3</v>
      </c>
      <c r="AN126" s="18" t="str">
        <f t="shared" si="3"/>
        <v>A2L3</v>
      </c>
      <c r="AQ126" s="45"/>
      <c r="AV126" s="45"/>
    </row>
    <row r="127" spans="1:53" x14ac:dyDescent="0.25">
      <c r="A127" s="18" t="s">
        <v>124</v>
      </c>
      <c r="B127" s="18">
        <v>12</v>
      </c>
      <c r="C127" s="18">
        <v>3</v>
      </c>
      <c r="K127" s="42"/>
      <c r="L127" s="43"/>
      <c r="M127" s="42"/>
      <c r="N127" s="42"/>
      <c r="U127" s="44"/>
      <c r="V127" s="44"/>
      <c r="W127" s="44"/>
      <c r="X127" s="45"/>
      <c r="Y127" s="148"/>
      <c r="Z127" s="42"/>
      <c r="AA127" s="18"/>
      <c r="AB127" s="17"/>
      <c r="AC127" s="17"/>
      <c r="AE127" s="46"/>
      <c r="AF127" s="44"/>
      <c r="AI127" s="45"/>
      <c r="AK127" s="18">
        <v>3</v>
      </c>
      <c r="AN127" s="18" t="str">
        <f t="shared" si="3"/>
        <v>A3L3</v>
      </c>
      <c r="AQ127" s="45"/>
      <c r="AV127" s="45"/>
    </row>
    <row r="128" spans="1:53" x14ac:dyDescent="0.25">
      <c r="A128" s="18" t="s">
        <v>128</v>
      </c>
      <c r="B128" s="18">
        <v>13</v>
      </c>
      <c r="C128" s="18">
        <v>3</v>
      </c>
      <c r="K128" s="42"/>
      <c r="L128" s="43"/>
      <c r="M128" s="42"/>
      <c r="N128" s="42"/>
      <c r="U128" s="44"/>
      <c r="V128" s="44"/>
      <c r="W128" s="44"/>
      <c r="X128" s="45"/>
      <c r="Y128" s="148"/>
      <c r="Z128" s="42"/>
      <c r="AA128" s="18"/>
      <c r="AB128" s="17"/>
      <c r="AC128" s="17"/>
      <c r="AE128" s="46"/>
      <c r="AF128" s="44"/>
      <c r="AI128" s="45"/>
      <c r="AK128" s="18">
        <v>3</v>
      </c>
      <c r="AN128" s="18" t="str">
        <f t="shared" si="3"/>
        <v>A1F3</v>
      </c>
      <c r="AQ128" s="45"/>
      <c r="AV128" s="45"/>
    </row>
    <row r="129" spans="1:53" x14ac:dyDescent="0.25">
      <c r="A129" s="18" t="s">
        <v>135</v>
      </c>
      <c r="B129" s="18">
        <v>14</v>
      </c>
      <c r="C129" s="18">
        <v>3</v>
      </c>
      <c r="K129" s="42"/>
      <c r="L129" s="43"/>
      <c r="M129" s="42"/>
      <c r="N129" s="42"/>
      <c r="U129" s="44"/>
      <c r="V129" s="44"/>
      <c r="W129" s="44"/>
      <c r="X129" s="45"/>
      <c r="Y129" s="148"/>
      <c r="Z129" s="42"/>
      <c r="AA129" s="18"/>
      <c r="AB129" s="17"/>
      <c r="AC129" s="17"/>
      <c r="AE129" s="46"/>
      <c r="AF129" s="44"/>
      <c r="AI129" s="45"/>
      <c r="AK129" s="18">
        <v>3</v>
      </c>
      <c r="AN129" s="18" t="str">
        <f t="shared" si="3"/>
        <v>A2F3</v>
      </c>
      <c r="AQ129" s="45"/>
      <c r="AV129" s="45"/>
    </row>
    <row r="130" spans="1:53" x14ac:dyDescent="0.25">
      <c r="A130" s="18" t="s">
        <v>140</v>
      </c>
      <c r="B130" s="18">
        <v>15</v>
      </c>
      <c r="C130" s="18">
        <v>3</v>
      </c>
      <c r="K130" s="42"/>
      <c r="L130" s="43"/>
      <c r="M130" s="42"/>
      <c r="N130" s="42"/>
      <c r="U130" s="44"/>
      <c r="V130" s="44"/>
      <c r="W130" s="44"/>
      <c r="X130" s="45"/>
      <c r="Y130" s="148"/>
      <c r="Z130" s="42"/>
      <c r="AA130" s="18"/>
      <c r="AB130" s="17"/>
      <c r="AC130" s="17"/>
      <c r="AE130" s="46"/>
      <c r="AF130" s="44"/>
      <c r="AI130" s="45"/>
      <c r="AK130" s="18">
        <v>3</v>
      </c>
      <c r="AN130" s="18" t="str">
        <f t="shared" si="3"/>
        <v>A3F3</v>
      </c>
      <c r="AQ130" s="45"/>
      <c r="AV130" s="45"/>
    </row>
    <row r="131" spans="1:53" x14ac:dyDescent="0.25">
      <c r="A131" s="18" t="s">
        <v>145</v>
      </c>
      <c r="B131" s="18">
        <v>16</v>
      </c>
      <c r="C131" s="18">
        <v>3</v>
      </c>
      <c r="K131" s="42"/>
      <c r="L131" s="43"/>
      <c r="M131" s="42"/>
      <c r="N131" s="42"/>
      <c r="U131" s="44"/>
      <c r="V131" s="44"/>
      <c r="W131" s="44"/>
      <c r="X131" s="45"/>
      <c r="Y131" s="148"/>
      <c r="Z131" s="42"/>
      <c r="AA131" s="18"/>
      <c r="AB131" s="17"/>
      <c r="AC131" s="17"/>
      <c r="AE131" s="46"/>
      <c r="AF131" s="44"/>
      <c r="AI131" s="45"/>
      <c r="AK131" s="18">
        <v>3</v>
      </c>
      <c r="AN131" s="18" t="str">
        <f t="shared" si="3"/>
        <v>A1P3</v>
      </c>
      <c r="AQ131" s="45"/>
      <c r="AV131" s="45"/>
    </row>
    <row r="132" spans="1:53" x14ac:dyDescent="0.25">
      <c r="A132" s="18" t="s">
        <v>150</v>
      </c>
      <c r="B132" s="18">
        <v>17</v>
      </c>
      <c r="C132" s="18">
        <v>3</v>
      </c>
      <c r="K132" s="42"/>
      <c r="L132" s="43"/>
      <c r="M132" s="42"/>
      <c r="N132" s="42"/>
      <c r="U132" s="44"/>
      <c r="V132" s="44"/>
      <c r="W132" s="44"/>
      <c r="X132" s="45"/>
      <c r="Y132" s="148"/>
      <c r="Z132" s="42"/>
      <c r="AA132" s="18"/>
      <c r="AB132" s="17"/>
      <c r="AC132" s="17"/>
      <c r="AE132" s="46"/>
      <c r="AF132" s="44"/>
      <c r="AI132" s="45"/>
      <c r="AK132" s="18">
        <v>3</v>
      </c>
      <c r="AN132" s="18" t="str">
        <f t="shared" si="3"/>
        <v>A2P3</v>
      </c>
      <c r="AQ132" s="45"/>
      <c r="AV132" s="45"/>
    </row>
    <row r="133" spans="1:53" x14ac:dyDescent="0.25">
      <c r="A133" s="18" t="s">
        <v>154</v>
      </c>
      <c r="B133" s="18">
        <v>18</v>
      </c>
      <c r="C133" s="18">
        <v>3</v>
      </c>
      <c r="K133" s="42"/>
      <c r="L133" s="43"/>
      <c r="M133" s="42"/>
      <c r="N133" s="42"/>
      <c r="U133" s="44"/>
      <c r="V133" s="44"/>
      <c r="W133" s="44"/>
      <c r="X133" s="45"/>
      <c r="Y133" s="148"/>
      <c r="Z133" s="42"/>
      <c r="AA133" s="18"/>
      <c r="AB133" s="17"/>
      <c r="AC133" s="17"/>
      <c r="AE133" s="46"/>
      <c r="AF133" s="44"/>
      <c r="AI133" s="45"/>
      <c r="AK133" s="18">
        <v>3</v>
      </c>
      <c r="AN133" s="18" t="str">
        <f t="shared" si="3"/>
        <v>A3P3</v>
      </c>
      <c r="AQ133" s="45"/>
      <c r="AV133" s="45"/>
    </row>
    <row r="134" spans="1:53" x14ac:dyDescent="0.25">
      <c r="A134" s="28" t="s">
        <v>157</v>
      </c>
      <c r="B134" s="18">
        <v>19</v>
      </c>
      <c r="C134" s="18">
        <v>3</v>
      </c>
      <c r="D134" s="20"/>
      <c r="E134" s="20"/>
      <c r="F134" s="20"/>
      <c r="G134" s="20"/>
      <c r="H134" s="20"/>
      <c r="I134" s="20"/>
      <c r="J134" s="20"/>
      <c r="K134" s="42"/>
      <c r="L134" s="43"/>
      <c r="M134" s="42"/>
      <c r="N134" s="42"/>
      <c r="O134" s="20"/>
      <c r="P134" s="20"/>
      <c r="Q134" s="20"/>
      <c r="R134" s="20"/>
      <c r="S134" s="20"/>
      <c r="T134" s="20"/>
      <c r="U134" s="44"/>
      <c r="V134" s="44"/>
      <c r="W134" s="44"/>
      <c r="X134" s="45"/>
      <c r="Y134" s="47"/>
      <c r="Z134" s="42"/>
      <c r="AA134" s="18"/>
      <c r="AB134" s="17"/>
      <c r="AC134" s="17"/>
      <c r="AD134" s="20"/>
      <c r="AE134" s="46"/>
      <c r="AF134" s="44"/>
      <c r="AG134" s="20"/>
      <c r="AH134" s="20"/>
      <c r="AI134" s="45"/>
      <c r="AJ134" s="20"/>
      <c r="AK134" s="18">
        <v>3</v>
      </c>
      <c r="AL134" s="20"/>
      <c r="AM134" s="20"/>
      <c r="AN134" s="18" t="str">
        <f t="shared" si="3"/>
        <v>ABP3</v>
      </c>
      <c r="AO134" s="20"/>
      <c r="AP134" s="20"/>
      <c r="AQ134" s="45"/>
      <c r="AR134" s="20"/>
      <c r="AS134" s="20"/>
      <c r="AT134" s="20"/>
      <c r="AU134" s="20"/>
      <c r="AV134" s="45"/>
      <c r="AW134" s="20"/>
      <c r="AX134" s="20"/>
      <c r="AY134" s="20"/>
      <c r="AZ134" s="20"/>
      <c r="BA134" s="20"/>
    </row>
    <row r="135" spans="1:53" x14ac:dyDescent="0.25">
      <c r="A135" s="18" t="s">
        <v>162</v>
      </c>
      <c r="B135" s="18">
        <v>20</v>
      </c>
      <c r="C135" s="18">
        <v>3</v>
      </c>
      <c r="K135" s="42"/>
      <c r="L135" s="43"/>
      <c r="M135" s="42"/>
      <c r="N135" s="42"/>
      <c r="U135" s="44"/>
      <c r="V135" s="44"/>
      <c r="W135" s="44"/>
      <c r="X135" s="45"/>
      <c r="Y135" s="148"/>
      <c r="Z135" s="42"/>
      <c r="AA135" s="18"/>
      <c r="AB135" s="17"/>
      <c r="AC135" s="17"/>
      <c r="AE135" s="46"/>
      <c r="AF135" s="44"/>
      <c r="AI135" s="45"/>
      <c r="AK135" s="18">
        <v>3</v>
      </c>
      <c r="AN135" s="18" t="str">
        <f t="shared" si="3"/>
        <v>P1L3</v>
      </c>
      <c r="AQ135" s="45"/>
      <c r="AV135" s="45"/>
    </row>
    <row r="136" spans="1:53" x14ac:dyDescent="0.25">
      <c r="A136" s="18" t="s">
        <v>170</v>
      </c>
      <c r="B136" s="18">
        <v>21</v>
      </c>
      <c r="C136" s="18">
        <v>3</v>
      </c>
      <c r="K136" s="42"/>
      <c r="L136" s="43"/>
      <c r="M136" s="42"/>
      <c r="N136" s="42"/>
      <c r="U136" s="44"/>
      <c r="V136" s="44"/>
      <c r="W136" s="44"/>
      <c r="X136" s="45"/>
      <c r="Y136" s="148"/>
      <c r="Z136" s="42"/>
      <c r="AA136" s="18"/>
      <c r="AB136" s="17"/>
      <c r="AC136" s="17"/>
      <c r="AE136" s="46"/>
      <c r="AF136" s="44"/>
      <c r="AI136" s="45"/>
      <c r="AK136" s="18">
        <v>3</v>
      </c>
      <c r="AN136" s="18" t="str">
        <f t="shared" si="3"/>
        <v>P2L3</v>
      </c>
      <c r="AQ136" s="45"/>
      <c r="AV136" s="45"/>
    </row>
    <row r="137" spans="1:53" x14ac:dyDescent="0.25">
      <c r="A137" s="18" t="s">
        <v>174</v>
      </c>
      <c r="B137" s="18">
        <v>22</v>
      </c>
      <c r="C137" s="18">
        <v>3</v>
      </c>
      <c r="K137" s="42"/>
      <c r="L137" s="43"/>
      <c r="M137" s="42"/>
      <c r="N137" s="42"/>
      <c r="U137" s="44"/>
      <c r="V137" s="44"/>
      <c r="W137" s="44"/>
      <c r="X137" s="45"/>
      <c r="Y137" s="148"/>
      <c r="Z137" s="42"/>
      <c r="AA137" s="18"/>
      <c r="AB137" s="17"/>
      <c r="AC137" s="17"/>
      <c r="AE137" s="46"/>
      <c r="AF137" s="44"/>
      <c r="AI137" s="45"/>
      <c r="AK137" s="18">
        <v>3</v>
      </c>
      <c r="AN137" s="18" t="str">
        <f t="shared" si="3"/>
        <v>P3L3</v>
      </c>
      <c r="AQ137" s="45"/>
      <c r="AV137" s="45"/>
    </row>
    <row r="138" spans="1:53" x14ac:dyDescent="0.25">
      <c r="A138" s="18" t="s">
        <v>178</v>
      </c>
      <c r="B138" s="18">
        <v>23</v>
      </c>
      <c r="C138" s="18">
        <v>3</v>
      </c>
      <c r="K138" s="42"/>
      <c r="L138" s="43"/>
      <c r="M138" s="42"/>
      <c r="N138" s="42"/>
      <c r="U138" s="44"/>
      <c r="V138" s="44"/>
      <c r="W138" s="44"/>
      <c r="X138" s="45"/>
      <c r="Y138" s="148"/>
      <c r="Z138" s="42"/>
      <c r="AA138" s="18"/>
      <c r="AB138" s="17"/>
      <c r="AC138" s="17"/>
      <c r="AE138" s="46"/>
      <c r="AF138" s="44"/>
      <c r="AI138" s="45"/>
      <c r="AK138" s="18">
        <v>3</v>
      </c>
      <c r="AN138" s="18" t="str">
        <f t="shared" si="3"/>
        <v>P1F3</v>
      </c>
      <c r="AQ138" s="45"/>
      <c r="AV138" s="45"/>
    </row>
    <row r="139" spans="1:53" x14ac:dyDescent="0.25">
      <c r="A139" s="18" t="s">
        <v>184</v>
      </c>
      <c r="B139" s="18">
        <v>24</v>
      </c>
      <c r="C139" s="18">
        <v>3</v>
      </c>
      <c r="K139" s="42"/>
      <c r="L139" s="43"/>
      <c r="M139" s="42"/>
      <c r="N139" s="42"/>
      <c r="U139" s="44"/>
      <c r="V139" s="44"/>
      <c r="W139" s="44"/>
      <c r="X139" s="45"/>
      <c r="Y139" s="148"/>
      <c r="Z139" s="42"/>
      <c r="AA139" s="18"/>
      <c r="AB139" s="17"/>
      <c r="AC139" s="17"/>
      <c r="AE139" s="46"/>
      <c r="AF139" s="44"/>
      <c r="AI139" s="45"/>
      <c r="AK139" s="18">
        <v>3</v>
      </c>
      <c r="AN139" s="18" t="str">
        <f t="shared" si="3"/>
        <v>P2F3</v>
      </c>
      <c r="AQ139" s="45"/>
      <c r="AV139" s="45"/>
    </row>
    <row r="140" spans="1:53" x14ac:dyDescent="0.25">
      <c r="A140" s="18" t="s">
        <v>188</v>
      </c>
      <c r="B140" s="18">
        <v>25</v>
      </c>
      <c r="C140" s="18">
        <v>3</v>
      </c>
      <c r="K140" s="42"/>
      <c r="L140" s="43"/>
      <c r="M140" s="42"/>
      <c r="N140" s="42"/>
      <c r="U140" s="44"/>
      <c r="V140" s="44"/>
      <c r="W140" s="44"/>
      <c r="X140" s="45"/>
      <c r="Y140" s="148"/>
      <c r="Z140" s="42"/>
      <c r="AA140" s="18"/>
      <c r="AB140" s="17"/>
      <c r="AC140" s="17"/>
      <c r="AE140" s="46"/>
      <c r="AF140" s="44"/>
      <c r="AI140" s="45"/>
      <c r="AK140" s="18">
        <v>3</v>
      </c>
      <c r="AN140" s="18" t="str">
        <f t="shared" si="3"/>
        <v>P3F3</v>
      </c>
      <c r="AQ140" s="45"/>
      <c r="AV140" s="45"/>
    </row>
    <row r="141" spans="1:53" x14ac:dyDescent="0.25">
      <c r="A141" s="18" t="s">
        <v>191</v>
      </c>
      <c r="B141" s="18">
        <v>26</v>
      </c>
      <c r="C141" s="18">
        <v>3</v>
      </c>
      <c r="K141" s="42"/>
      <c r="L141" s="43"/>
      <c r="M141" s="42"/>
      <c r="N141" s="42"/>
      <c r="U141" s="44"/>
      <c r="V141" s="44"/>
      <c r="W141" s="44"/>
      <c r="X141" s="45"/>
      <c r="Y141" s="148"/>
      <c r="Z141" s="42"/>
      <c r="AA141" s="18"/>
      <c r="AB141" s="17"/>
      <c r="AC141" s="17"/>
      <c r="AE141" s="46"/>
      <c r="AF141" s="44"/>
      <c r="AI141" s="45"/>
      <c r="AK141" s="18">
        <v>3</v>
      </c>
      <c r="AN141" s="18" t="str">
        <f t="shared" si="3"/>
        <v>P1P3</v>
      </c>
      <c r="AQ141" s="45"/>
      <c r="AV141" s="45"/>
    </row>
    <row r="142" spans="1:53" x14ac:dyDescent="0.25">
      <c r="A142" s="18" t="s">
        <v>196</v>
      </c>
      <c r="B142" s="18">
        <v>27</v>
      </c>
      <c r="C142" s="18">
        <v>3</v>
      </c>
      <c r="K142" s="42"/>
      <c r="L142" s="43"/>
      <c r="M142" s="42"/>
      <c r="N142" s="42"/>
      <c r="U142" s="44"/>
      <c r="V142" s="44"/>
      <c r="W142" s="44"/>
      <c r="X142" s="45"/>
      <c r="Y142" s="148"/>
      <c r="Z142" s="42"/>
      <c r="AA142" s="18"/>
      <c r="AB142" s="17"/>
      <c r="AC142" s="17"/>
      <c r="AE142" s="46"/>
      <c r="AF142" s="44"/>
      <c r="AI142" s="45"/>
      <c r="AK142" s="18">
        <v>3</v>
      </c>
      <c r="AN142" s="18" t="str">
        <f t="shared" si="3"/>
        <v>P2P3</v>
      </c>
      <c r="AQ142" s="45"/>
      <c r="AV142" s="45"/>
    </row>
    <row r="143" spans="1:53" x14ac:dyDescent="0.25">
      <c r="A143" s="18" t="s">
        <v>201</v>
      </c>
      <c r="B143" s="18">
        <v>28</v>
      </c>
      <c r="C143" s="18">
        <v>3</v>
      </c>
      <c r="K143" s="42"/>
      <c r="L143" s="43"/>
      <c r="M143" s="42"/>
      <c r="N143" s="42"/>
      <c r="U143" s="44"/>
      <c r="V143" s="44"/>
      <c r="W143" s="44"/>
      <c r="X143" s="45"/>
      <c r="Y143" s="148"/>
      <c r="Z143" s="42"/>
      <c r="AA143" s="18"/>
      <c r="AB143" s="17"/>
      <c r="AC143" s="17"/>
      <c r="AE143" s="46"/>
      <c r="AF143" s="44"/>
      <c r="AI143" s="45"/>
      <c r="AK143" s="18">
        <v>3</v>
      </c>
      <c r="AN143" s="18" t="str">
        <f t="shared" si="3"/>
        <v>P3P3</v>
      </c>
      <c r="AQ143" s="45"/>
      <c r="AV143" s="45"/>
    </row>
    <row r="144" spans="1:53" x14ac:dyDescent="0.25">
      <c r="A144" s="28" t="s">
        <v>205</v>
      </c>
      <c r="B144" s="18">
        <v>29</v>
      </c>
      <c r="C144" s="18">
        <v>3</v>
      </c>
      <c r="K144" s="42"/>
      <c r="L144" s="43"/>
      <c r="M144" s="42"/>
      <c r="N144" s="42"/>
      <c r="U144" s="44"/>
      <c r="V144" s="44"/>
      <c r="W144" s="44"/>
      <c r="X144" s="45"/>
      <c r="Y144" s="148"/>
      <c r="Z144" s="42"/>
      <c r="AA144" s="18"/>
      <c r="AB144" s="17"/>
      <c r="AC144" s="17"/>
      <c r="AE144" s="46"/>
      <c r="AF144" s="44"/>
      <c r="AI144" s="45"/>
      <c r="AK144" s="18">
        <v>3</v>
      </c>
      <c r="AN144" s="18" t="str">
        <f t="shared" si="3"/>
        <v>PBP3</v>
      </c>
      <c r="AQ144" s="45"/>
      <c r="AV144" s="45"/>
    </row>
    <row r="145" spans="1:48" x14ac:dyDescent="0.25">
      <c r="A145" s="18" t="s">
        <v>212</v>
      </c>
      <c r="B145" s="18">
        <v>30</v>
      </c>
      <c r="C145" s="18">
        <v>3</v>
      </c>
      <c r="K145" s="42"/>
      <c r="L145" s="43"/>
      <c r="M145" s="42"/>
      <c r="N145" s="42"/>
      <c r="U145" s="44"/>
      <c r="V145" s="44"/>
      <c r="W145" s="44"/>
      <c r="X145" s="45"/>
      <c r="Y145" s="148"/>
      <c r="Z145" s="42"/>
      <c r="AA145" s="18"/>
      <c r="AB145" s="17"/>
      <c r="AC145" s="17"/>
      <c r="AE145" s="46"/>
      <c r="AF145" s="44"/>
      <c r="AI145" s="45"/>
      <c r="AK145" s="18">
        <v>3</v>
      </c>
      <c r="AN145" s="18" t="str">
        <f t="shared" si="3"/>
        <v>E1L3</v>
      </c>
      <c r="AQ145" s="45"/>
      <c r="AV145" s="45"/>
    </row>
    <row r="146" spans="1:48" x14ac:dyDescent="0.25">
      <c r="A146" s="18" t="s">
        <v>218</v>
      </c>
      <c r="B146" s="18">
        <v>31</v>
      </c>
      <c r="C146" s="18">
        <v>3</v>
      </c>
      <c r="K146" s="42"/>
      <c r="L146" s="43"/>
      <c r="M146" s="42"/>
      <c r="N146" s="42"/>
      <c r="U146" s="44"/>
      <c r="V146" s="44"/>
      <c r="W146" s="44"/>
      <c r="X146" s="45"/>
      <c r="Y146" s="148"/>
      <c r="Z146" s="42"/>
      <c r="AA146" s="18"/>
      <c r="AB146" s="17"/>
      <c r="AC146" s="17"/>
      <c r="AE146" s="46"/>
      <c r="AF146" s="44"/>
      <c r="AI146" s="45"/>
      <c r="AK146" s="18">
        <v>3</v>
      </c>
      <c r="AN146" s="18" t="str">
        <f t="shared" si="3"/>
        <v>E2L3</v>
      </c>
      <c r="AQ146" s="45"/>
      <c r="AV146" s="45"/>
    </row>
    <row r="147" spans="1:48" x14ac:dyDescent="0.25">
      <c r="A147" s="18" t="s">
        <v>222</v>
      </c>
      <c r="B147" s="18">
        <v>32</v>
      </c>
      <c r="C147" s="18">
        <v>3</v>
      </c>
      <c r="K147" s="42"/>
      <c r="L147" s="43"/>
      <c r="M147" s="42"/>
      <c r="N147" s="42"/>
      <c r="U147" s="44"/>
      <c r="V147" s="44"/>
      <c r="W147" s="44"/>
      <c r="X147" s="45"/>
      <c r="Y147" s="148"/>
      <c r="Z147" s="42"/>
      <c r="AA147" s="18"/>
      <c r="AB147" s="17"/>
      <c r="AC147" s="17"/>
      <c r="AE147" s="46"/>
      <c r="AF147" s="44"/>
      <c r="AI147" s="45"/>
      <c r="AK147" s="18">
        <v>3</v>
      </c>
      <c r="AN147" s="18" t="str">
        <f t="shared" si="3"/>
        <v>E3L3</v>
      </c>
      <c r="AQ147" s="45"/>
      <c r="AV147" s="45"/>
    </row>
    <row r="148" spans="1:48" x14ac:dyDescent="0.25">
      <c r="A148" s="18" t="s">
        <v>226</v>
      </c>
      <c r="B148" s="18">
        <v>33</v>
      </c>
      <c r="C148" s="18">
        <v>3</v>
      </c>
      <c r="K148" s="42"/>
      <c r="L148" s="43"/>
      <c r="M148" s="42"/>
      <c r="N148" s="42"/>
      <c r="U148" s="44"/>
      <c r="V148" s="44"/>
      <c r="W148" s="44"/>
      <c r="X148" s="45"/>
      <c r="Y148" s="148"/>
      <c r="Z148" s="42"/>
      <c r="AA148" s="18"/>
      <c r="AB148" s="17"/>
      <c r="AC148" s="17"/>
      <c r="AE148" s="46"/>
      <c r="AF148" s="44"/>
      <c r="AI148" s="45"/>
      <c r="AK148" s="18">
        <v>3</v>
      </c>
      <c r="AN148" s="18" t="str">
        <f t="shared" si="3"/>
        <v>E1F3</v>
      </c>
      <c r="AQ148" s="45"/>
      <c r="AV148" s="45"/>
    </row>
    <row r="149" spans="1:48" x14ac:dyDescent="0.25">
      <c r="A149" s="18" t="s">
        <v>232</v>
      </c>
      <c r="B149" s="18">
        <v>34</v>
      </c>
      <c r="C149" s="18">
        <v>3</v>
      </c>
      <c r="K149" s="42"/>
      <c r="L149" s="43"/>
      <c r="M149" s="42"/>
      <c r="N149" s="42"/>
      <c r="U149" s="44"/>
      <c r="V149" s="44"/>
      <c r="W149" s="44"/>
      <c r="X149" s="45"/>
      <c r="Y149" s="148"/>
      <c r="Z149" s="42"/>
      <c r="AA149" s="18"/>
      <c r="AB149" s="17"/>
      <c r="AC149" s="17"/>
      <c r="AE149" s="46"/>
      <c r="AF149" s="44"/>
      <c r="AI149" s="45"/>
      <c r="AK149" s="18">
        <v>3</v>
      </c>
      <c r="AN149" s="18" t="str">
        <f t="shared" si="3"/>
        <v>E2F3</v>
      </c>
      <c r="AQ149" s="45"/>
      <c r="AV149" s="45"/>
    </row>
    <row r="150" spans="1:48" x14ac:dyDescent="0.25">
      <c r="A150" s="18" t="s">
        <v>236</v>
      </c>
      <c r="B150" s="18">
        <v>35</v>
      </c>
      <c r="C150" s="18">
        <v>3</v>
      </c>
      <c r="K150" s="42"/>
      <c r="L150" s="43"/>
      <c r="M150" s="42"/>
      <c r="N150" s="42"/>
      <c r="U150" s="44"/>
      <c r="V150" s="44"/>
      <c r="W150" s="44"/>
      <c r="X150" s="45"/>
      <c r="Y150" s="148"/>
      <c r="Z150" s="42"/>
      <c r="AA150" s="18"/>
      <c r="AB150" s="17"/>
      <c r="AC150" s="17"/>
      <c r="AE150" s="46"/>
      <c r="AF150" s="44"/>
      <c r="AI150" s="45"/>
      <c r="AK150" s="18">
        <v>3</v>
      </c>
      <c r="AN150" s="18" t="str">
        <f t="shared" si="3"/>
        <v>E3F3</v>
      </c>
      <c r="AQ150" s="45"/>
      <c r="AV150" s="45"/>
    </row>
    <row r="151" spans="1:48" x14ac:dyDescent="0.25">
      <c r="A151" s="18" t="s">
        <v>240</v>
      </c>
      <c r="B151" s="18">
        <v>36</v>
      </c>
      <c r="C151" s="18">
        <v>3</v>
      </c>
      <c r="K151" s="42"/>
      <c r="L151" s="43"/>
      <c r="M151" s="42"/>
      <c r="N151" s="42"/>
      <c r="U151" s="44"/>
      <c r="V151" s="44"/>
      <c r="W151" s="44"/>
      <c r="X151" s="45"/>
      <c r="Y151" s="148"/>
      <c r="Z151" s="42"/>
      <c r="AA151" s="18"/>
      <c r="AB151" s="17"/>
      <c r="AC151" s="17"/>
      <c r="AE151" s="46"/>
      <c r="AF151" s="44"/>
      <c r="AI151" s="45"/>
      <c r="AK151" s="18">
        <v>3</v>
      </c>
      <c r="AN151" s="18" t="str">
        <f t="shared" si="3"/>
        <v>E1P3</v>
      </c>
      <c r="AQ151" s="45"/>
      <c r="AV151" s="45"/>
    </row>
    <row r="152" spans="1:48" x14ac:dyDescent="0.25">
      <c r="A152" s="18" t="s">
        <v>247</v>
      </c>
      <c r="B152" s="18">
        <v>37</v>
      </c>
      <c r="C152" s="18">
        <v>3</v>
      </c>
      <c r="K152" s="42"/>
      <c r="L152" s="43"/>
      <c r="M152" s="42"/>
      <c r="N152" s="42"/>
      <c r="U152" s="44"/>
      <c r="V152" s="44"/>
      <c r="W152" s="44"/>
      <c r="X152" s="45"/>
      <c r="Y152" s="148"/>
      <c r="Z152" s="42"/>
      <c r="AA152" s="18"/>
      <c r="AB152" s="17"/>
      <c r="AC152" s="17"/>
      <c r="AE152" s="46"/>
      <c r="AF152" s="44"/>
      <c r="AI152" s="45"/>
      <c r="AK152" s="18">
        <v>3</v>
      </c>
      <c r="AN152" s="18" t="str">
        <f t="shared" si="3"/>
        <v>E2P3</v>
      </c>
      <c r="AQ152" s="45"/>
      <c r="AV152" s="45"/>
    </row>
    <row r="153" spans="1:48" x14ac:dyDescent="0.25">
      <c r="A153" s="56" t="s">
        <v>251</v>
      </c>
      <c r="B153" s="18">
        <v>38</v>
      </c>
      <c r="C153" s="18">
        <v>3</v>
      </c>
      <c r="K153" s="42"/>
      <c r="L153" s="43"/>
      <c r="M153" s="42"/>
      <c r="N153" s="42"/>
      <c r="U153" s="44"/>
      <c r="V153" s="44"/>
      <c r="W153" s="44"/>
      <c r="X153" s="45"/>
      <c r="Y153" s="148"/>
      <c r="Z153" s="42"/>
      <c r="AA153" s="18"/>
      <c r="AB153" s="17"/>
      <c r="AC153" s="17"/>
      <c r="AE153" s="46"/>
      <c r="AF153" s="44"/>
      <c r="AI153" s="45"/>
      <c r="AK153" s="18">
        <v>3</v>
      </c>
      <c r="AN153" s="18" t="str">
        <f t="shared" si="3"/>
        <v>E3P3</v>
      </c>
      <c r="AQ153" s="45"/>
      <c r="AV153" s="45"/>
    </row>
    <row r="154" spans="1:48" x14ac:dyDescent="0.25">
      <c r="A154" s="18" t="s">
        <v>254</v>
      </c>
      <c r="B154" s="18">
        <v>39</v>
      </c>
      <c r="C154" s="18">
        <v>3</v>
      </c>
      <c r="K154" s="42"/>
      <c r="L154" s="43"/>
      <c r="M154" s="42"/>
      <c r="N154" s="42"/>
      <c r="U154" s="44"/>
      <c r="V154" s="44"/>
      <c r="W154" s="44"/>
      <c r="X154" s="45"/>
      <c r="Y154" s="148"/>
      <c r="Z154" s="42"/>
      <c r="AA154" s="18"/>
      <c r="AB154" s="17"/>
      <c r="AC154" s="17"/>
      <c r="AE154" s="46"/>
      <c r="AF154" s="44"/>
      <c r="AI154" s="45"/>
      <c r="AK154" s="18">
        <v>3</v>
      </c>
      <c r="AN154" s="18" t="str">
        <f t="shared" si="3"/>
        <v>T1L3</v>
      </c>
      <c r="AQ154" s="45"/>
      <c r="AV154" s="45"/>
    </row>
    <row r="155" spans="1:48" x14ac:dyDescent="0.25">
      <c r="A155" s="18" t="s">
        <v>261</v>
      </c>
      <c r="B155" s="18">
        <v>40</v>
      </c>
      <c r="C155" s="18">
        <v>3</v>
      </c>
      <c r="K155" s="42"/>
      <c r="L155" s="43"/>
      <c r="M155" s="42"/>
      <c r="N155" s="42"/>
      <c r="U155" s="44"/>
      <c r="V155" s="44"/>
      <c r="W155" s="44"/>
      <c r="X155" s="45"/>
      <c r="Y155" s="148"/>
      <c r="Z155" s="42"/>
      <c r="AA155" s="18"/>
      <c r="AB155" s="17"/>
      <c r="AC155" s="17"/>
      <c r="AE155" s="46"/>
      <c r="AF155" s="44"/>
      <c r="AI155" s="45"/>
      <c r="AK155" s="18">
        <v>3</v>
      </c>
      <c r="AN155" s="18" t="str">
        <f t="shared" si="3"/>
        <v>T2L3</v>
      </c>
      <c r="AQ155" s="45"/>
      <c r="AV155" s="45"/>
    </row>
    <row r="156" spans="1:48" x14ac:dyDescent="0.25">
      <c r="A156" s="18" t="s">
        <v>265</v>
      </c>
      <c r="B156" s="18">
        <v>41</v>
      </c>
      <c r="C156" s="18">
        <v>3</v>
      </c>
      <c r="K156" s="42"/>
      <c r="L156" s="43"/>
      <c r="M156" s="42"/>
      <c r="N156" s="42"/>
      <c r="U156" s="44"/>
      <c r="V156" s="44"/>
      <c r="W156" s="44"/>
      <c r="X156" s="45"/>
      <c r="Y156" s="148"/>
      <c r="Z156" s="42"/>
      <c r="AA156" s="18"/>
      <c r="AB156" s="17"/>
      <c r="AC156" s="17"/>
      <c r="AE156" s="46"/>
      <c r="AF156" s="44"/>
      <c r="AI156" s="45"/>
      <c r="AK156" s="18">
        <v>3</v>
      </c>
      <c r="AN156" s="18" t="str">
        <f t="shared" si="3"/>
        <v>T3L3</v>
      </c>
      <c r="AQ156" s="45"/>
      <c r="AV156" s="45"/>
    </row>
    <row r="157" spans="1:48" x14ac:dyDescent="0.25">
      <c r="A157" s="18" t="s">
        <v>269</v>
      </c>
      <c r="B157" s="18">
        <v>42</v>
      </c>
      <c r="C157" s="18">
        <v>3</v>
      </c>
      <c r="K157" s="42"/>
      <c r="L157" s="43"/>
      <c r="M157" s="42"/>
      <c r="N157" s="42"/>
      <c r="U157" s="44"/>
      <c r="V157" s="44"/>
      <c r="W157" s="44"/>
      <c r="X157" s="45"/>
      <c r="Y157" s="148"/>
      <c r="Z157" s="42"/>
      <c r="AA157" s="18"/>
      <c r="AB157" s="17"/>
      <c r="AC157" s="17"/>
      <c r="AE157" s="46"/>
      <c r="AF157" s="44"/>
      <c r="AI157" s="45"/>
      <c r="AK157" s="18">
        <v>3</v>
      </c>
      <c r="AN157" s="18" t="str">
        <f t="shared" si="3"/>
        <v>T1F3</v>
      </c>
      <c r="AQ157" s="45"/>
      <c r="AV157" s="45"/>
    </row>
    <row r="158" spans="1:48" x14ac:dyDescent="0.25">
      <c r="A158" s="18" t="s">
        <v>277</v>
      </c>
      <c r="B158" s="18">
        <v>43</v>
      </c>
      <c r="C158" s="18">
        <v>3</v>
      </c>
      <c r="K158" s="42"/>
      <c r="L158" s="43"/>
      <c r="M158" s="42"/>
      <c r="N158" s="42"/>
      <c r="U158" s="44"/>
      <c r="V158" s="44"/>
      <c r="W158" s="44"/>
      <c r="X158" s="45"/>
      <c r="Y158" s="148"/>
      <c r="Z158" s="42"/>
      <c r="AA158" s="18"/>
      <c r="AB158" s="17"/>
      <c r="AC158" s="17"/>
      <c r="AE158" s="46"/>
      <c r="AF158" s="44"/>
      <c r="AI158" s="45"/>
      <c r="AK158" s="18">
        <v>3</v>
      </c>
      <c r="AN158" s="18" t="str">
        <f t="shared" si="3"/>
        <v>T2F3</v>
      </c>
      <c r="AQ158" s="45"/>
      <c r="AV158" s="45"/>
    </row>
    <row r="159" spans="1:48" x14ac:dyDescent="0.25">
      <c r="A159" s="18" t="s">
        <v>281</v>
      </c>
      <c r="B159" s="18">
        <v>44</v>
      </c>
      <c r="C159" s="18">
        <v>3</v>
      </c>
      <c r="K159" s="42"/>
      <c r="L159" s="43"/>
      <c r="M159" s="42"/>
      <c r="N159" s="42"/>
      <c r="U159" s="44"/>
      <c r="V159" s="44"/>
      <c r="W159" s="44"/>
      <c r="X159" s="45"/>
      <c r="Y159" s="148"/>
      <c r="Z159" s="42"/>
      <c r="AA159" s="18"/>
      <c r="AB159" s="17"/>
      <c r="AC159" s="17"/>
      <c r="AE159" s="46"/>
      <c r="AF159" s="44"/>
      <c r="AI159" s="45"/>
      <c r="AK159" s="18">
        <v>3</v>
      </c>
      <c r="AN159" s="18" t="str">
        <f t="shared" si="3"/>
        <v>T3F3</v>
      </c>
      <c r="AQ159" s="45"/>
      <c r="AV159" s="45"/>
    </row>
    <row r="160" spans="1:48" x14ac:dyDescent="0.25">
      <c r="A160" s="18" t="s">
        <v>285</v>
      </c>
      <c r="B160" s="18">
        <v>45</v>
      </c>
      <c r="C160" s="18">
        <v>3</v>
      </c>
      <c r="K160" s="42"/>
      <c r="L160" s="43"/>
      <c r="M160" s="42"/>
      <c r="N160" s="42"/>
      <c r="U160" s="44"/>
      <c r="V160" s="44"/>
      <c r="W160" s="44"/>
      <c r="X160" s="45"/>
      <c r="Y160" s="148"/>
      <c r="Z160" s="42"/>
      <c r="AA160" s="18"/>
      <c r="AB160" s="17"/>
      <c r="AC160" s="17"/>
      <c r="AE160" s="46"/>
      <c r="AF160" s="44"/>
      <c r="AI160" s="45"/>
      <c r="AK160" s="18">
        <v>3</v>
      </c>
      <c r="AN160" s="18" t="str">
        <f t="shared" si="3"/>
        <v>T1P3</v>
      </c>
      <c r="AQ160" s="45"/>
      <c r="AV160" s="45"/>
    </row>
    <row r="161" spans="1:48" x14ac:dyDescent="0.25">
      <c r="A161" s="18" t="s">
        <v>291</v>
      </c>
      <c r="B161" s="18">
        <v>46</v>
      </c>
      <c r="C161" s="18">
        <v>3</v>
      </c>
      <c r="K161" s="42"/>
      <c r="L161" s="43"/>
      <c r="M161" s="42"/>
      <c r="N161" s="42"/>
      <c r="U161" s="44"/>
      <c r="V161" s="44"/>
      <c r="W161" s="44"/>
      <c r="X161" s="45"/>
      <c r="Y161" s="148"/>
      <c r="Z161" s="42"/>
      <c r="AA161" s="18"/>
      <c r="AB161" s="17"/>
      <c r="AC161" s="17"/>
      <c r="AE161" s="46"/>
      <c r="AF161" s="44"/>
      <c r="AI161" s="45"/>
      <c r="AK161" s="18">
        <v>3</v>
      </c>
      <c r="AN161" s="18" t="str">
        <f t="shared" si="3"/>
        <v>T2P3</v>
      </c>
      <c r="AQ161" s="45"/>
      <c r="AV161" s="45"/>
    </row>
    <row r="162" spans="1:48" x14ac:dyDescent="0.25">
      <c r="A162" s="56" t="s">
        <v>294</v>
      </c>
      <c r="B162" s="18">
        <v>47</v>
      </c>
      <c r="C162" s="18">
        <v>3</v>
      </c>
      <c r="K162" s="42"/>
      <c r="L162" s="43"/>
      <c r="M162" s="42"/>
      <c r="N162" s="42"/>
      <c r="U162" s="44"/>
      <c r="V162" s="44"/>
      <c r="W162" s="44"/>
      <c r="X162" s="45"/>
      <c r="Y162" s="148"/>
      <c r="Z162" s="42"/>
      <c r="AA162" s="18"/>
      <c r="AB162" s="17"/>
      <c r="AC162" s="17"/>
      <c r="AE162" s="46"/>
      <c r="AF162" s="44"/>
      <c r="AI162" s="45"/>
      <c r="AK162" s="18">
        <v>3</v>
      </c>
      <c r="AN162" s="18" t="str">
        <f t="shared" si="3"/>
        <v>T3P3</v>
      </c>
      <c r="AQ162" s="45"/>
      <c r="AV162" s="45"/>
    </row>
    <row r="163" spans="1:48" x14ac:dyDescent="0.25">
      <c r="A163" s="18" t="s">
        <v>298</v>
      </c>
      <c r="B163" s="18">
        <v>48</v>
      </c>
      <c r="C163" s="18">
        <v>3</v>
      </c>
      <c r="K163" s="42"/>
      <c r="L163" s="43"/>
      <c r="M163" s="42"/>
      <c r="N163" s="42"/>
      <c r="U163" s="44"/>
      <c r="V163" s="44"/>
      <c r="W163" s="44"/>
      <c r="X163" s="45"/>
      <c r="Y163" s="148"/>
      <c r="Z163" s="42"/>
      <c r="AA163" s="18"/>
      <c r="AB163" s="17"/>
      <c r="AC163" s="17"/>
      <c r="AE163" s="46"/>
      <c r="AF163" s="44"/>
      <c r="AI163" s="45"/>
      <c r="AK163" s="18">
        <v>3</v>
      </c>
      <c r="AN163" s="18" t="str">
        <f t="shared" si="3"/>
        <v>H1L3</v>
      </c>
      <c r="AQ163" s="45"/>
      <c r="AV163" s="45"/>
    </row>
    <row r="164" spans="1:48" x14ac:dyDescent="0.25">
      <c r="A164" s="18" t="s">
        <v>304</v>
      </c>
      <c r="B164" s="18">
        <v>49</v>
      </c>
      <c r="C164" s="18">
        <v>3</v>
      </c>
      <c r="K164" s="42"/>
      <c r="L164" s="43"/>
      <c r="M164" s="42"/>
      <c r="N164" s="42"/>
      <c r="U164" s="44"/>
      <c r="V164" s="44"/>
      <c r="W164" s="44"/>
      <c r="X164" s="45"/>
      <c r="Y164" s="148"/>
      <c r="Z164" s="42"/>
      <c r="AA164" s="18"/>
      <c r="AB164" s="17"/>
      <c r="AC164" s="17"/>
      <c r="AE164" s="46"/>
      <c r="AF164" s="44"/>
      <c r="AI164" s="45"/>
      <c r="AK164" s="18">
        <v>3</v>
      </c>
      <c r="AN164" s="18" t="str">
        <f t="shared" si="3"/>
        <v>H2L3</v>
      </c>
      <c r="AQ164" s="45"/>
      <c r="AV164" s="45"/>
    </row>
    <row r="165" spans="1:48" x14ac:dyDescent="0.25">
      <c r="A165" s="18" t="s">
        <v>307</v>
      </c>
      <c r="B165" s="18">
        <v>50</v>
      </c>
      <c r="C165" s="18">
        <v>3</v>
      </c>
      <c r="K165" s="42"/>
      <c r="L165" s="43"/>
      <c r="M165" s="42"/>
      <c r="N165" s="42"/>
      <c r="U165" s="44"/>
      <c r="V165" s="44"/>
      <c r="W165" s="44"/>
      <c r="X165" s="45"/>
      <c r="Y165" s="148"/>
      <c r="Z165" s="42"/>
      <c r="AA165" s="18"/>
      <c r="AB165" s="17"/>
      <c r="AC165" s="17"/>
      <c r="AE165" s="46"/>
      <c r="AF165" s="44"/>
      <c r="AI165" s="45"/>
      <c r="AK165" s="18">
        <v>3</v>
      </c>
      <c r="AN165" s="18" t="str">
        <f t="shared" si="3"/>
        <v>H3L3</v>
      </c>
      <c r="AQ165" s="45"/>
      <c r="AV165" s="45"/>
    </row>
    <row r="166" spans="1:48" x14ac:dyDescent="0.25">
      <c r="A166" s="18" t="s">
        <v>310</v>
      </c>
      <c r="B166" s="18">
        <v>51</v>
      </c>
      <c r="C166" s="18">
        <v>3</v>
      </c>
      <c r="K166" s="42"/>
      <c r="L166" s="43"/>
      <c r="M166" s="42"/>
      <c r="N166" s="42"/>
      <c r="U166" s="44"/>
      <c r="V166" s="44"/>
      <c r="W166" s="44"/>
      <c r="X166" s="45"/>
      <c r="Y166" s="148"/>
      <c r="Z166" s="42"/>
      <c r="AA166" s="18"/>
      <c r="AB166" s="17"/>
      <c r="AC166" s="17"/>
      <c r="AE166" s="46"/>
      <c r="AF166" s="44"/>
      <c r="AI166" s="45"/>
      <c r="AK166" s="18">
        <v>3</v>
      </c>
      <c r="AN166" s="18" t="str">
        <f t="shared" si="3"/>
        <v>H1F3</v>
      </c>
      <c r="AQ166" s="45"/>
      <c r="AV166" s="45"/>
    </row>
    <row r="167" spans="1:48" x14ac:dyDescent="0.25">
      <c r="A167" s="18" t="s">
        <v>315</v>
      </c>
      <c r="B167" s="18">
        <v>52</v>
      </c>
      <c r="C167" s="18">
        <v>3</v>
      </c>
      <c r="K167" s="42"/>
      <c r="L167" s="43"/>
      <c r="M167" s="42"/>
      <c r="N167" s="42"/>
      <c r="U167" s="44"/>
      <c r="V167" s="44"/>
      <c r="W167" s="44"/>
      <c r="X167" s="45"/>
      <c r="Y167" s="148"/>
      <c r="Z167" s="42"/>
      <c r="AA167" s="18"/>
      <c r="AB167" s="17"/>
      <c r="AC167" s="17"/>
      <c r="AE167" s="46"/>
      <c r="AF167" s="44"/>
      <c r="AI167" s="45"/>
      <c r="AK167" s="18">
        <v>3</v>
      </c>
      <c r="AN167" s="18" t="str">
        <f t="shared" si="3"/>
        <v>H2F3</v>
      </c>
      <c r="AQ167" s="45"/>
      <c r="AV167" s="45"/>
    </row>
    <row r="168" spans="1:48" x14ac:dyDescent="0.25">
      <c r="A168" s="18" t="s">
        <v>317</v>
      </c>
      <c r="B168" s="18">
        <v>53</v>
      </c>
      <c r="C168" s="18">
        <v>3</v>
      </c>
      <c r="K168" s="42"/>
      <c r="L168" s="43"/>
      <c r="M168" s="42"/>
      <c r="N168" s="42"/>
      <c r="U168" s="44"/>
      <c r="V168" s="44"/>
      <c r="W168" s="44"/>
      <c r="X168" s="45"/>
      <c r="Y168" s="148"/>
      <c r="Z168" s="42"/>
      <c r="AA168" s="18"/>
      <c r="AB168" s="17"/>
      <c r="AC168" s="17"/>
      <c r="AE168" s="46"/>
      <c r="AF168" s="44"/>
      <c r="AI168" s="45"/>
      <c r="AK168" s="18">
        <v>3</v>
      </c>
      <c r="AN168" s="18" t="str">
        <f t="shared" si="3"/>
        <v>H3F3</v>
      </c>
      <c r="AQ168" s="45"/>
      <c r="AV168" s="45"/>
    </row>
    <row r="169" spans="1:48" x14ac:dyDescent="0.25">
      <c r="A169" s="18" t="s">
        <v>320</v>
      </c>
      <c r="B169" s="18">
        <v>54</v>
      </c>
      <c r="C169" s="18">
        <v>3</v>
      </c>
      <c r="K169" s="42"/>
      <c r="L169" s="43"/>
      <c r="M169" s="42"/>
      <c r="N169" s="42"/>
      <c r="U169" s="44"/>
      <c r="V169" s="44"/>
      <c r="W169" s="44"/>
      <c r="X169" s="45"/>
      <c r="Y169" s="148"/>
      <c r="Z169" s="42"/>
      <c r="AA169" s="18"/>
      <c r="AB169" s="17"/>
      <c r="AC169" s="17"/>
      <c r="AE169" s="46"/>
      <c r="AF169" s="44"/>
      <c r="AI169" s="45"/>
      <c r="AK169" s="18">
        <v>3</v>
      </c>
      <c r="AN169" s="18" t="str">
        <f t="shared" si="3"/>
        <v>H1P3</v>
      </c>
      <c r="AQ169" s="45"/>
      <c r="AV169" s="45"/>
    </row>
    <row r="170" spans="1:48" x14ac:dyDescent="0.25">
      <c r="A170" s="18" t="s">
        <v>325</v>
      </c>
      <c r="B170" s="18">
        <v>55</v>
      </c>
      <c r="C170" s="18">
        <v>3</v>
      </c>
      <c r="K170" s="42"/>
      <c r="L170" s="43"/>
      <c r="M170" s="42"/>
      <c r="N170" s="42"/>
      <c r="U170" s="44"/>
      <c r="V170" s="44"/>
      <c r="W170" s="44"/>
      <c r="X170" s="45"/>
      <c r="Y170" s="148"/>
      <c r="Z170" s="42"/>
      <c r="AA170" s="18"/>
      <c r="AB170" s="17"/>
      <c r="AC170" s="17"/>
      <c r="AE170" s="46"/>
      <c r="AF170" s="44"/>
      <c r="AI170" s="45"/>
      <c r="AK170" s="18">
        <v>3</v>
      </c>
      <c r="AN170" s="18" t="str">
        <f t="shared" si="3"/>
        <v>H2P3</v>
      </c>
      <c r="AQ170" s="45"/>
      <c r="AV170" s="45"/>
    </row>
    <row r="171" spans="1:48" x14ac:dyDescent="0.25">
      <c r="A171" s="18" t="s">
        <v>327</v>
      </c>
      <c r="B171" s="18">
        <v>56</v>
      </c>
      <c r="C171" s="18">
        <v>3</v>
      </c>
      <c r="K171" s="42"/>
      <c r="L171" s="43"/>
      <c r="M171" s="42"/>
      <c r="N171" s="42"/>
      <c r="U171" s="44"/>
      <c r="V171" s="44"/>
      <c r="W171" s="44"/>
      <c r="X171" s="45"/>
      <c r="Y171" s="148"/>
      <c r="Z171" s="42"/>
      <c r="AA171" s="18"/>
      <c r="AB171" s="17"/>
      <c r="AC171" s="17"/>
      <c r="AE171" s="46"/>
      <c r="AF171" s="44"/>
      <c r="AI171" s="45"/>
      <c r="AK171" s="18">
        <v>3</v>
      </c>
      <c r="AN171" s="18" t="str">
        <f t="shared" si="3"/>
        <v>H3P3</v>
      </c>
      <c r="AQ171" s="45"/>
      <c r="AV171" s="45"/>
    </row>
    <row r="172" spans="1:48" x14ac:dyDescent="0.25">
      <c r="A172" s="28" t="s">
        <v>331</v>
      </c>
      <c r="B172" s="18">
        <v>57</v>
      </c>
      <c r="C172" s="18">
        <v>3</v>
      </c>
      <c r="K172" s="42"/>
      <c r="L172" s="43"/>
      <c r="M172" s="42"/>
      <c r="N172" s="42"/>
      <c r="U172" s="44"/>
      <c r="V172" s="44"/>
      <c r="W172" s="44"/>
      <c r="X172" s="45"/>
      <c r="Y172" s="148"/>
      <c r="Z172" s="42"/>
      <c r="AA172" s="18"/>
      <c r="AB172" s="17"/>
      <c r="AC172" s="17"/>
      <c r="AE172" s="46"/>
      <c r="AF172" s="44"/>
      <c r="AI172" s="45"/>
      <c r="AK172" s="18">
        <v>3</v>
      </c>
      <c r="AN172" s="18" t="str">
        <f t="shared" si="3"/>
        <v>HBP3</v>
      </c>
      <c r="AQ172" s="45"/>
      <c r="AV172" s="45"/>
    </row>
  </sheetData>
  <conditionalFormatting sqref="AV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CARTAIRADE</dc:creator>
  <cp:lastModifiedBy>Lucie CARTAIRADE</cp:lastModifiedBy>
  <dcterms:created xsi:type="dcterms:W3CDTF">2025-06-03T19:16:13Z</dcterms:created>
  <dcterms:modified xsi:type="dcterms:W3CDTF">2025-10-09T14:06:40Z</dcterms:modified>
</cp:coreProperties>
</file>